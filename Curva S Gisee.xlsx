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<sst xmlns="http://schemas.openxmlformats.org/spreadsheetml/2006/main" count="45" uniqueCount="45">
  <si>
    <t>Curve S Table</t>
  </si>
  <si>
    <t>Activities Planning &amp; Representative Percentage</t>
  </si>
  <si>
    <t>Semana</t>
  </si>
  <si>
    <t>PV</t>
  </si>
  <si>
    <t>EV</t>
  </si>
  <si>
    <t>AC</t>
  </si>
  <si>
    <t>SV=EV−PV</t>
  </si>
  <si>
    <t>CV=EV−AC</t>
  </si>
  <si>
    <t>SPI=EV/PV</t>
  </si>
  <si>
    <t>CPI=EV/AC</t>
  </si>
  <si>
    <t>#</t>
  </si>
  <si>
    <t>Actividad Principal</t>
  </si>
  <si>
    <t>% Individual</t>
  </si>
  <si>
    <t>% Acumulado</t>
  </si>
  <si>
    <t>Sprint Zero (documentación, arquitectura, planeación inicial)</t>
  </si>
  <si>
    <t>Integración Gemini + RAG básico con artículos psicológicos</t>
  </si>
  <si>
    <t>Diseño de estructura de memoria contextual + endpoints de usuarios</t>
  </si>
  <si>
    <t>Implementación de autenticación y registro de conversaciones</t>
  </si>
  <si>
    <t>Módulo de memoria contextual + consultas por fecha</t>
  </si>
  <si>
    <t>Exportación de reportes PDF/Excel + dashboard psicólogos</t>
  </si>
  <si>
    <t>Análisis de emociones (texto/voz) + integración en flujo</t>
  </si>
  <si>
    <t>Optimización de rendimiento + seguridad básica (bcrypt/SSL)</t>
  </si>
  <si>
    <t>Pruebas, validaciones finales y documentación entregable</t>
  </si>
  <si>
    <t>Curve S Graph</t>
  </si>
  <si>
    <t>PV (Planned Value) = Valor planificado</t>
  </si>
  <si>
    <t>Lo que deberías haber hecho hasta hoy, según el plan.</t>
  </si>
  <si>
    <t>Ejemplo: según tu cronograma, hoy deberías llevar el 50% → si el presupuesto total es $100,000, entonces PV = $50,000.</t>
  </si>
  <si>
    <t>EV (Earned Value) = Valor ganado</t>
  </si>
  <si>
    <t>Lo que realmente has hecho hasta hoy, pero medido en términos del plan.</t>
  </si>
  <si>
    <t>Ejemplo: llevas hecho un 40% → EV = $40,000.</t>
  </si>
  <si>
    <t>AC (Actual Cost) = Costo real</t>
  </si>
  <si>
    <t>Lo que te has gastado hasta hoy.</t>
  </si>
  <si>
    <t>Ejemplo: has gastado $45,000.</t>
  </si>
  <si>
    <t>SV (variance de cronograma) = EV − PV → &lt; 0 = atraso</t>
  </si>
  <si>
    <t>CV (variance de costo) = EV − AC → &lt; 0 = sobrecosto</t>
  </si>
  <si>
    <t>SPI (índice de performance de cronograma) = EV / PV → &lt; 1 = atraso</t>
  </si>
  <si>
    <t>CPI (índice de performance de costo) = EV / AC → &lt; 1 = sobrecosto</t>
  </si>
  <si>
    <t>Lectura rápida</t>
  </si>
  <si>
    <t>En todas las semanas EV &lt; PV → el proyecto va atrasado (SPI &lt; 1).</t>
  </si>
  <si>
    <t>En todas las semanas AC &gt; EV → hay sobrecosto (CPI &lt; 1).</t>
  </si>
  <si>
    <t>Se mejora un poco hacia la semana 5–6 (SPI ≈ 0.85), pero sigue en rojo.</t>
  </si>
  <si>
    <t>Proyección simple al corte final (semana 6)</t>
  </si>
  <si>
    <t>Si tomamos BAC = 100 (mismas unidades que PV) y usamos el CPI final ≈ 0.81:</t>
  </si>
  <si>
    <t>EAC ≈ BAC / CPI = 100 / 0.81 ≈ 123.5 → costo final ≈ 123.5</t>
  </si>
  <si>
    <t>VAC = BAC − EAC ≈ 100 − 123.5 = −23.5 → sobrepaso de ~23.5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</si>
</sst>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Courier New"/>
    </font>
    <font>
      <b/>
      <i/>
      <color theme="1"/>
      <name val="Courier New"/>
    </font>
    <font>
      <color theme="1"/>
      <name val="Arial"/>
    </font>
    <font>
      <b/>
      <sz val="12.0"/>
      <color rgb="FF000000"/>
      <name val="Courier New"/>
    </font>
    <font>
      <b/>
      <color theme="1"/>
      <name val="Courier New"/>
    </font>
    <font>
      <sz val="12.0"/>
      <color rgb="FF000000"/>
      <name val="Courier New"/>
    </font>
    <font>
      <b/>
      <sz val="16.0"/>
      <color rgb="FF000000"/>
      <name val="Courier New"/>
    </font>
    <font>
      <b/>
      <sz val="14.0"/>
      <color rgb="FF000000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1" fillId="5" fontId="4" numFmtId="0" xfId="0" applyAlignment="1" applyBorder="1" applyFill="1" applyFont="1">
      <alignment horizontal="center" readingOrder="0" shrinkToFit="0" vertical="bottom" wrapText="0"/>
    </xf>
    <xf borderId="1" fillId="6" fontId="5" numFmtId="0" xfId="0" applyAlignment="1" applyBorder="1" applyFill="1" applyFont="1">
      <alignment horizontal="center" vertical="bottom"/>
    </xf>
    <xf borderId="1" fillId="6" fontId="5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/>
    </xf>
    <xf borderId="1" fillId="7" fontId="6" numFmtId="0" xfId="0" applyAlignment="1" applyBorder="1" applyFill="1" applyFon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 shrinkToFit="0" vertical="bottom" wrapText="0"/>
    </xf>
    <xf borderId="1" fillId="7" fontId="4" numFmtId="2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0" fillId="7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7" fontId="6" numFmtId="0" xfId="0" applyAlignment="1" applyFont="1">
      <alignment shrinkToFit="0" vertical="bottom" wrapText="0"/>
    </xf>
    <xf borderId="0" fillId="7" fontId="7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7" fontId="8" numFmtId="0" xfId="0" applyAlignment="1" applyFont="1">
      <alignment readingOrder="0" shrinkToFit="0" vertical="bottom" wrapText="0"/>
    </xf>
    <xf borderId="2" fillId="7" fontId="4" numFmtId="0" xfId="0" applyAlignment="1" applyBorder="1" applyFont="1">
      <alignment readingOrder="0" shrinkToFit="0" vertical="bottom" wrapText="0"/>
    </xf>
    <xf borderId="3" fillId="0" fontId="1" numFmtId="0" xfId="0" applyBorder="1" applyFont="1"/>
    <xf borderId="3" fillId="7" fontId="4" numFmtId="0" xfId="0" applyAlignment="1" applyBorder="1" applyFont="1">
      <alignment readingOrder="0" shrinkToFit="0" vertical="bottom" wrapText="0"/>
    </xf>
    <xf borderId="4" fillId="0" fontId="1" numFmtId="0" xfId="0" applyBorder="1" applyFont="1"/>
    <xf borderId="5" fillId="7" fontId="6" numFmtId="0" xfId="0" applyAlignment="1" applyBorder="1" applyFont="1">
      <alignment horizontal="left" readingOrder="0" shrinkToFit="0" vertical="bottom" wrapText="0"/>
    </xf>
    <xf borderId="6" fillId="0" fontId="1" numFmtId="0" xfId="0" applyBorder="1" applyFont="1"/>
    <xf borderId="7" fillId="7" fontId="6" numFmtId="0" xfId="0" applyAlignment="1" applyBorder="1" applyFont="1">
      <alignment horizontal="left" readingOrder="0" shrinkToFit="0" vertical="bottom" wrapText="0"/>
    </xf>
    <xf borderId="8" fillId="0" fontId="1" numFmtId="0" xfId="0" applyBorder="1" applyFont="1"/>
    <xf borderId="8" fillId="7" fontId="4" numFmtId="0" xfId="0" applyAlignment="1" applyBorder="1" applyFont="1">
      <alignment shrinkToFit="0" vertical="bottom" wrapText="0"/>
    </xf>
    <xf borderId="9" fillId="0" fontId="1" numFmtId="0" xfId="0" applyBorder="1" applyFont="1"/>
    <xf borderId="5" fillId="7" fontId="4" numFmtId="0" xfId="0" applyAlignment="1" applyBorder="1" applyFont="1">
      <alignment readingOrder="0" shrinkToFit="0" vertical="bottom" wrapText="0"/>
    </xf>
    <xf borderId="0" fillId="7" fontId="6" numFmtId="0" xfId="0" applyAlignment="1" applyFont="1">
      <alignment readingOrder="0" vertical="bottom"/>
    </xf>
    <xf borderId="0" fillId="7" fontId="4" numFmtId="0" xfId="0" applyAlignment="1" applyFont="1">
      <alignment horizontal="left" readingOrder="0" shrinkToFit="0" vertical="bottom" wrapText="0"/>
    </xf>
    <xf borderId="8" fillId="7" fontId="6" numFmtId="0" xfId="0" applyAlignment="1" applyBorder="1" applyFont="1">
      <alignment readingOrder="0" shrinkToFit="0" vertical="bottom" wrapText="0"/>
    </xf>
    <xf borderId="0" fillId="7" fontId="6" numFmtId="0" xfId="0" applyAlignment="1" applyFont="1">
      <alignment horizontal="left" readingOrder="0" shrinkToFit="0" vertical="bottom" wrapText="0"/>
    </xf>
    <xf borderId="8" fillId="7" fontId="6" numFmtId="0" xfId="0" applyAlignment="1" applyBorder="1" applyFont="1">
      <alignment horizontal="left" readingOrder="0" shrinkToFit="0" vertical="bottom" wrapText="0"/>
    </xf>
    <xf borderId="5" fillId="7" fontId="6" numFmtId="0" xfId="0" applyAlignment="1" applyBorder="1" applyFont="1">
      <alignment readingOrder="0" shrinkToFit="0" vertical="bottom" wrapText="0"/>
    </xf>
    <xf borderId="7" fillId="7" fontId="6" numFmtId="0" xfId="0" applyAlignment="1" applyBorder="1" applyFont="1">
      <alignment readingOrder="0" shrinkToFit="0" vertical="bottom" wrapText="0"/>
    </xf>
    <xf borderId="5" fillId="7" fontId="7" numFmtId="0" xfId="0" applyAlignment="1" applyBorder="1" applyFont="1">
      <alignment readingOrder="0" shrinkToFit="0" vertical="bottom" wrapText="0"/>
    </xf>
    <xf borderId="7" fillId="7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15</xdr:row>
      <xdr:rowOff>0</xdr:rowOff>
    </xdr:from>
    <xdr:ext cx="6515100" cy="4029075"/>
    <xdr:pic>
      <xdr:nvPicPr>
        <xdr:cNvPr id="3263772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5"/>
    <col customWidth="1" min="14" max="14" width="41.0"/>
    <col customWidth="1" min="15" max="15" width="14.63"/>
    <col customWidth="1" min="16" max="16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3" t="s">
        <v>1</v>
      </c>
      <c r="N2" s="4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2</v>
      </c>
      <c r="C3" s="6" t="s">
        <v>3</v>
      </c>
      <c r="D3" s="7" t="s">
        <v>4</v>
      </c>
      <c r="E3" s="8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1"/>
      <c r="K3" s="1"/>
      <c r="M3" s="9" t="s">
        <v>10</v>
      </c>
      <c r="N3" s="9" t="s">
        <v>11</v>
      </c>
      <c r="O3" s="10" t="s">
        <v>12</v>
      </c>
      <c r="P3" s="11" t="s">
        <v>13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>
        <v>1.0</v>
      </c>
      <c r="C4" s="12">
        <f t="shared" ref="C4:C12" si="1">P4</f>
        <v>10</v>
      </c>
      <c r="D4" s="12">
        <v>8.0</v>
      </c>
      <c r="E4" s="12">
        <v>12.0</v>
      </c>
      <c r="F4" s="13">
        <f t="shared" ref="F4:F6" si="2">D4-C4</f>
        <v>-2</v>
      </c>
      <c r="G4" s="13">
        <f t="shared" ref="G4:G6" si="3">D4-E4</f>
        <v>-4</v>
      </c>
      <c r="H4" s="14">
        <f t="shared" ref="H4:H6" si="4">D4/C4</f>
        <v>0.8</v>
      </c>
      <c r="I4" s="14">
        <f t="shared" ref="I4:I6" si="5">D4/E4</f>
        <v>0.6666666667</v>
      </c>
      <c r="J4" s="1"/>
      <c r="K4" s="1"/>
      <c r="M4" s="15">
        <v>1.0</v>
      </c>
      <c r="N4" s="16" t="s">
        <v>14</v>
      </c>
      <c r="O4" s="15">
        <v>10.0</v>
      </c>
      <c r="P4" s="17">
        <f>O4</f>
        <v>10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>
        <v>2.0</v>
      </c>
      <c r="C5" s="12">
        <f t="shared" si="1"/>
        <v>25</v>
      </c>
      <c r="D5" s="12">
        <v>23.0</v>
      </c>
      <c r="E5" s="12">
        <v>27.0</v>
      </c>
      <c r="F5" s="13">
        <f t="shared" si="2"/>
        <v>-2</v>
      </c>
      <c r="G5" s="13">
        <f t="shared" si="3"/>
        <v>-4</v>
      </c>
      <c r="H5" s="14">
        <f t="shared" si="4"/>
        <v>0.92</v>
      </c>
      <c r="I5" s="14">
        <f t="shared" si="5"/>
        <v>0.8518518519</v>
      </c>
      <c r="J5" s="1"/>
      <c r="K5" s="1"/>
      <c r="M5" s="15">
        <v>2.0</v>
      </c>
      <c r="N5" s="16" t="s">
        <v>15</v>
      </c>
      <c r="O5" s="15">
        <v>15.0</v>
      </c>
      <c r="P5" s="17">
        <f t="shared" ref="P5:P12" si="6">P4+O5</f>
        <v>25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>
        <v>3.0</v>
      </c>
      <c r="C6" s="12">
        <f t="shared" si="1"/>
        <v>35</v>
      </c>
      <c r="D6" s="12">
        <v>32.0</v>
      </c>
      <c r="E6" s="12">
        <v>30.0</v>
      </c>
      <c r="F6" s="13">
        <f t="shared" si="2"/>
        <v>-3</v>
      </c>
      <c r="G6" s="13">
        <f t="shared" si="3"/>
        <v>2</v>
      </c>
      <c r="H6" s="14">
        <f t="shared" si="4"/>
        <v>0.9142857143</v>
      </c>
      <c r="I6" s="14">
        <f t="shared" si="5"/>
        <v>1.066666667</v>
      </c>
      <c r="J6" s="1"/>
      <c r="K6" s="1"/>
      <c r="M6" s="15">
        <v>3.0</v>
      </c>
      <c r="N6" s="16" t="s">
        <v>16</v>
      </c>
      <c r="O6" s="15">
        <v>10.0</v>
      </c>
      <c r="P6" s="17">
        <f t="shared" si="6"/>
        <v>35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>
        <v>4.0</v>
      </c>
      <c r="C7" s="12">
        <f t="shared" si="1"/>
        <v>45</v>
      </c>
      <c r="E7" s="12"/>
      <c r="F7" s="12"/>
      <c r="G7" s="12"/>
      <c r="H7" s="12"/>
      <c r="I7" s="12"/>
      <c r="J7" s="1"/>
      <c r="K7" s="1"/>
      <c r="M7" s="15">
        <v>4.0</v>
      </c>
      <c r="N7" s="16" t="s">
        <v>17</v>
      </c>
      <c r="O7" s="15">
        <v>10.0</v>
      </c>
      <c r="P7" s="17">
        <f t="shared" si="6"/>
        <v>45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>
        <v>5.0</v>
      </c>
      <c r="C8" s="12">
        <f t="shared" si="1"/>
        <v>60</v>
      </c>
      <c r="D8" s="12"/>
      <c r="E8" s="12"/>
      <c r="F8" s="12"/>
      <c r="G8" s="12"/>
      <c r="H8" s="12"/>
      <c r="I8" s="12"/>
      <c r="J8" s="1"/>
      <c r="K8" s="1"/>
      <c r="M8" s="15">
        <v>5.0</v>
      </c>
      <c r="N8" s="16" t="s">
        <v>18</v>
      </c>
      <c r="O8" s="15">
        <v>15.0</v>
      </c>
      <c r="P8" s="17">
        <f t="shared" si="6"/>
        <v>60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>
        <v>6.0</v>
      </c>
      <c r="C9" s="12">
        <f t="shared" si="1"/>
        <v>70</v>
      </c>
      <c r="D9" s="12"/>
      <c r="E9" s="12"/>
      <c r="F9" s="12"/>
      <c r="G9" s="12"/>
      <c r="H9" s="12"/>
      <c r="I9" s="12"/>
      <c r="J9" s="1"/>
      <c r="K9" s="1"/>
      <c r="M9" s="15">
        <v>6.0</v>
      </c>
      <c r="N9" s="16" t="s">
        <v>19</v>
      </c>
      <c r="O9" s="15">
        <v>10.0</v>
      </c>
      <c r="P9" s="17">
        <f t="shared" si="6"/>
        <v>70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>
        <v>7.0</v>
      </c>
      <c r="C10" s="12">
        <f t="shared" si="1"/>
        <v>80</v>
      </c>
      <c r="D10" s="12"/>
      <c r="E10" s="12"/>
      <c r="F10" s="12"/>
      <c r="G10" s="12"/>
      <c r="H10" s="12"/>
      <c r="I10" s="12"/>
      <c r="J10" s="1"/>
      <c r="K10" s="1"/>
      <c r="M10" s="15">
        <v>7.0</v>
      </c>
      <c r="N10" s="16" t="s">
        <v>20</v>
      </c>
      <c r="O10" s="15">
        <v>10.0</v>
      </c>
      <c r="P10" s="17">
        <f t="shared" si="6"/>
        <v>80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>
        <v>8.0</v>
      </c>
      <c r="C11" s="12">
        <f t="shared" si="1"/>
        <v>90</v>
      </c>
      <c r="D11" s="12"/>
      <c r="E11" s="12"/>
      <c r="F11" s="12"/>
      <c r="G11" s="12"/>
      <c r="H11" s="12"/>
      <c r="I11" s="12"/>
      <c r="J11" s="1"/>
      <c r="K11" s="1"/>
      <c r="M11" s="15">
        <v>8.0</v>
      </c>
      <c r="N11" s="16" t="s">
        <v>21</v>
      </c>
      <c r="O11" s="15">
        <v>10.0</v>
      </c>
      <c r="P11" s="17">
        <f t="shared" si="6"/>
        <v>90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>
        <v>9.0</v>
      </c>
      <c r="C12" s="12">
        <f t="shared" si="1"/>
        <v>100</v>
      </c>
      <c r="D12" s="12"/>
      <c r="E12" s="12"/>
      <c r="F12" s="12"/>
      <c r="G12" s="12"/>
      <c r="H12" s="12"/>
      <c r="I12" s="12"/>
      <c r="J12" s="1"/>
      <c r="K12" s="1"/>
      <c r="M12" s="15">
        <v>9.0</v>
      </c>
      <c r="N12" s="16" t="s">
        <v>22</v>
      </c>
      <c r="O12" s="15">
        <v>10.0</v>
      </c>
      <c r="P12" s="17">
        <f t="shared" si="6"/>
        <v>100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C14" s="1"/>
      <c r="D14" s="1"/>
      <c r="E14" s="1"/>
      <c r="F14" s="1"/>
      <c r="G14" s="1"/>
      <c r="H14" s="1"/>
      <c r="I14" s="1"/>
      <c r="J14" s="1"/>
      <c r="K14" s="1"/>
      <c r="L14" s="18"/>
      <c r="M14" s="1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23</v>
      </c>
      <c r="C15" s="1"/>
      <c r="D15" s="1"/>
      <c r="E15" s="1"/>
      <c r="F15" s="1"/>
      <c r="G15" s="1"/>
      <c r="H15" s="1"/>
      <c r="I15" s="1"/>
      <c r="J15" s="1"/>
      <c r="K15" s="1"/>
      <c r="L15" s="1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C16" s="1"/>
      <c r="D16" s="1"/>
      <c r="E16" s="1"/>
      <c r="F16" s="1"/>
      <c r="G16" s="1"/>
      <c r="H16" s="1"/>
      <c r="I16" s="1"/>
      <c r="J16" s="1"/>
      <c r="K16" s="1"/>
      <c r="L16" s="18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Q17" s="1"/>
      <c r="R17" s="1"/>
      <c r="S17" s="1"/>
      <c r="T17" s="1"/>
      <c r="U17" s="1"/>
      <c r="V17" s="1"/>
      <c r="W17" s="1"/>
    </row>
    <row r="18" ht="39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4" t="s">
        <v>24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  <c r="M37" s="2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8" t="s">
        <v>25</v>
      </c>
      <c r="C38" s="1"/>
      <c r="D38" s="1"/>
      <c r="E38" s="1"/>
      <c r="F38" s="1"/>
      <c r="G38" s="1"/>
      <c r="H38" s="1"/>
      <c r="I38" s="1"/>
      <c r="J38" s="1"/>
      <c r="K38" s="1"/>
      <c r="L38" s="22"/>
      <c r="M38" s="2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9"/>
      <c r="B39" s="30" t="s">
        <v>26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3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4" t="s">
        <v>27</v>
      </c>
      <c r="C40" s="19"/>
      <c r="D40" s="1"/>
      <c r="E40" s="1"/>
      <c r="F40" s="1"/>
      <c r="G40" s="1"/>
      <c r="H40" s="1"/>
      <c r="I40" s="1"/>
      <c r="J40" s="1"/>
      <c r="K40" s="1"/>
      <c r="L40" s="35"/>
      <c r="M40" s="2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8" t="s">
        <v>28</v>
      </c>
      <c r="C41" s="1"/>
      <c r="D41" s="1"/>
      <c r="E41" s="1"/>
      <c r="F41" s="1"/>
      <c r="G41" s="1"/>
      <c r="H41" s="1"/>
      <c r="I41" s="1"/>
      <c r="J41" s="1"/>
      <c r="K41" s="1"/>
      <c r="L41" s="36"/>
      <c r="M41" s="2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0" t="s">
        <v>29</v>
      </c>
      <c r="C42" s="31"/>
      <c r="D42" s="31"/>
      <c r="E42" s="31"/>
      <c r="F42" s="31"/>
      <c r="G42" s="31"/>
      <c r="H42" s="31"/>
      <c r="I42" s="31"/>
      <c r="J42" s="31"/>
      <c r="K42" s="31"/>
      <c r="L42" s="37"/>
      <c r="M42" s="3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4" t="s">
        <v>30</v>
      </c>
      <c r="C43" s="1"/>
      <c r="D43" s="1"/>
      <c r="E43" s="1"/>
      <c r="F43" s="1"/>
      <c r="G43" s="1"/>
      <c r="H43" s="1"/>
      <c r="I43" s="1"/>
      <c r="J43" s="1"/>
      <c r="K43" s="1"/>
      <c r="L43" s="38"/>
      <c r="M43" s="2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8" t="s">
        <v>31</v>
      </c>
      <c r="C44" s="1"/>
      <c r="D44" s="1"/>
      <c r="E44" s="1"/>
      <c r="F44" s="1"/>
      <c r="G44" s="1"/>
      <c r="H44" s="1"/>
      <c r="I44" s="1"/>
      <c r="J44" s="1"/>
      <c r="K44" s="1"/>
      <c r="L44" s="38"/>
      <c r="M44" s="2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0" t="s">
        <v>32</v>
      </c>
      <c r="C45" s="31"/>
      <c r="D45" s="31"/>
      <c r="E45" s="31"/>
      <c r="F45" s="31"/>
      <c r="G45" s="31"/>
      <c r="H45" s="31"/>
      <c r="I45" s="31"/>
      <c r="J45" s="31"/>
      <c r="K45" s="31"/>
      <c r="L45" s="39"/>
      <c r="M45" s="3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0" t="s">
        <v>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2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0" t="s">
        <v>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2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0" t="s">
        <v>35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2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1" t="s">
        <v>36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2" t="s">
        <v>37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2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0" t="s">
        <v>38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2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0" t="s">
        <v>39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2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1" t="s">
        <v>40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2" t="s">
        <v>41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2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0" t="s">
        <v>42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2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4" t="s">
        <v>43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2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3" t="s">
        <v>44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conditionalFormatting sqref="H4:H12">
    <cfRule type="cellIs" dxfId="0" priority="1" operator="lessThan">
      <formula>1</formula>
    </cfRule>
  </conditionalFormatting>
  <conditionalFormatting sqref="G4:G12">
    <cfRule type="cellIs" dxfId="0" priority="2" operator="lessThan">
      <formula>0</formula>
    </cfRule>
  </conditionalFormatting>
  <conditionalFormatting sqref="F4:F12">
    <cfRule type="cellIs" dxfId="0" priority="3" operator="lessThan">
      <formula>0</formula>
    </cfRule>
  </conditionalFormatting>
  <conditionalFormatting sqref="I4:I12">
    <cfRule type="cellIs" dxfId="0" priority="4" operator="lessThan">
      <formula>1</formula>
    </cfRule>
  </conditionalFormatting>
  <conditionalFormatting sqref="I4:I12">
    <cfRule type="colorScale" priority="5">
      <colorScale>
        <cfvo type="min"/>
        <cfvo type="max"/>
        <color rgb="FFFFFFFF"/>
        <color rgb="FF57BB8A"/>
      </colorScale>
    </cfRule>
  </conditionalFormatting>
  <conditionalFormatting sqref="H4:H12">
    <cfRule type="cellIs" dxfId="1" priority="6" operator="greaterThanOrEqual">
      <formula>1</formula>
    </cfRule>
  </conditionalFormatting>
  <conditionalFormatting sqref="G4:G12">
    <cfRule type="cellIs" dxfId="1" priority="7" operator="greaterThanOrEqual">
      <formula>0</formula>
    </cfRule>
  </conditionalFormatting>
  <conditionalFormatting sqref="F4:F12">
    <cfRule type="cellIs" dxfId="1" priority="8" operator="greaterThanOrEqual">
      <formula>0</formula>
    </cfRule>
  </conditionalFormatting>
  <drawing r:id="rId1"/>
</worksheet>
</file>