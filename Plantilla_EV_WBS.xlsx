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strucciones" sheetId="1" r:id="rId4"/>
    <sheet state="visible" name="Config" sheetId="2" r:id="rId5"/>
    <sheet state="visible" name="WBS-EV" sheetId="3" r:id="rId6"/>
    <sheet state="visible" name="Resumen" sheetId="4" r:id="rId7"/>
  </sheets>
  <definedNames/>
  <calcPr/>
</workbook>
</file>

<file path=xl/sharedStrings.xml><?xml version="1.0" encoding="utf-8"?>
<sst xmlns="http://schemas.openxmlformats.org/spreadsheetml/2006/main" count="129" uniqueCount="87">
  <si>
    <t>Plantilla EV + WBS (versión simple)</t>
  </si>
  <si>
    <t>Cómo usar (paso a paso):</t>
  </si>
  <si>
    <t>1) En la hoja 'Config', define el Costo por punto (COP por story point) y la fecha de corte.</t>
  </si>
  <si>
    <t>2) En 'WBS-EV', para cada paquete de trabajo o historia, completa: WBS, nombre, descripción, puntos estimados, % planificado a la fecha y % completado real (solo lo que esté 'Hecho' con DoD).</t>
  </si>
  <si>
    <t>3) Ingresa el AC (costo real a la fecha) por paquete. Las columnas de presupuesto, PV, EV, SV y CV se calculan automáticamente.</t>
  </si>
  <si>
    <t>4) Revisa la hoja 'Resumen' para ver SPI, CPI, EAC y otros agregados del proyecto.</t>
  </si>
  <si>
    <t>Notas:</t>
  </si>
  <si>
    <t>- % Planificado a la fecha (columna G): fracción de ese paquete que, según el plan, ya debería estar completado a la fecha de corte (0 a 1).</t>
  </si>
  <si>
    <t>- % Completado real (columna I): fracción realmente terminada (0 a 1). No cuentes trabajo 'En progreso'.</t>
  </si>
  <si>
    <t>- Puedes cambiar 'Costo por punto' en cualquier momento; todo se recalcula.</t>
  </si>
  <si>
    <t>- Estados sugeridos: Planificado, En progreso, En revisión, Hecho.</t>
  </si>
  <si>
    <t>Parámetro</t>
  </si>
  <si>
    <t>Valor</t>
  </si>
  <si>
    <t>Costo por punto (COP)</t>
  </si>
  <si>
    <t>Fecha de corte (solo referencia)</t>
  </si>
  <si>
    <t>WBS</t>
  </si>
  <si>
    <t>Paquete/Historia</t>
  </si>
  <si>
    <t>Descripción</t>
  </si>
  <si>
    <t>Puntos estimados</t>
  </si>
  <si>
    <t>Costo por punto (auto)</t>
  </si>
  <si>
    <t>Presupuesto paquete (BAC_wp)</t>
  </si>
  <si>
    <t>% Planificado a la fecha (0-1)</t>
  </si>
  <si>
    <t>PV a la fecha</t>
  </si>
  <si>
    <t>% Completado real (0-1)</t>
  </si>
  <si>
    <t>EV</t>
  </si>
  <si>
    <t>AC (costo real a la fecha)</t>
  </si>
  <si>
    <t>SV = EV - PV</t>
  </si>
  <si>
    <t>CV = EV - AC</t>
  </si>
  <si>
    <t>Responsable</t>
  </si>
  <si>
    <t>Estado</t>
  </si>
  <si>
    <t>Inicio plan</t>
  </si>
  <si>
    <t>Fin plan</t>
  </si>
  <si>
    <t>Fin real</t>
  </si>
  <si>
    <t>1.4.1</t>
  </si>
  <si>
    <t>13 - Evaluar precisión y relevancia de las respuestas RAG</t>
  </si>
  <si>
    <t>Alex García Castañeda</t>
  </si>
  <si>
    <t>FINALIZADA</t>
  </si>
  <si>
    <t>1.4.3</t>
  </si>
  <si>
    <t>14- Diseñar estructura de memoria contextual</t>
  </si>
  <si>
    <t>1.1.2</t>
  </si>
  <si>
    <t>16 - Endpoint para registro de conversaciones con emociones</t>
  </si>
  <si>
    <t>17 - Consultar historial conversacional por usuario y fecha</t>
  </si>
  <si>
    <t>Juan Manuel Arango Rodas</t>
  </si>
  <si>
    <t>15 - Crear endpoints REST para gestión de usuarios</t>
  </si>
  <si>
    <t>Tina María Torres Tascón</t>
  </si>
  <si>
    <t>1.1.1</t>
  </si>
  <si>
    <t>26 - Implementación de capa de acceso a datos (DAO / Repository)</t>
  </si>
  <si>
    <t>29 -  Generación y gestión de embeddings</t>
  </si>
  <si>
    <t>1.1.3</t>
  </si>
  <si>
    <t>27 - Configuración del entorno local con Docker</t>
  </si>
  <si>
    <t>24- Definición de arquitectura lógica y técnica</t>
  </si>
  <si>
    <t>Stiven Henao Aricapa</t>
  </si>
  <si>
    <t>25- Diseño del modelo de datos relacional y vectorial</t>
  </si>
  <si>
    <t>Víctor Manuel Hernández Ortíz</t>
  </si>
  <si>
    <t>1.3.1</t>
  </si>
  <si>
    <t>28- Configurar conexión con el modelo Gemini</t>
  </si>
  <si>
    <t>1.4.1, 1.3.2</t>
  </si>
  <si>
    <t>12- Diseño del pipeline de conversación</t>
  </si>
  <si>
    <t>Juan Sebastían Gómez Agudelo</t>
  </si>
  <si>
    <t>11- Implementar RAG básico con artículos psicológicos</t>
  </si>
  <si>
    <t>Memoria contextual integrada al flujo conversacional + RAG</t>
  </si>
  <si>
    <t>Frontend de gestión de usuarios</t>
  </si>
  <si>
    <t>Sebastián Gómez Agudelo</t>
  </si>
  <si>
    <t>Exportación de reportes PDF del historial conversacional</t>
  </si>
  <si>
    <t>Pruebas iniciales de conexión con hardware</t>
  </si>
  <si>
    <t>Mejorar fluidez y velocidad de conversación</t>
  </si>
  <si>
    <t>Manuel Gómez</t>
  </si>
  <si>
    <t>EN CURSO</t>
  </si>
  <si>
    <t>1.6.2</t>
  </si>
  <si>
    <t>Seguridad básica: cifrado y protección de datos</t>
  </si>
  <si>
    <t>1.2.3</t>
  </si>
  <si>
    <t>Integración final con hardware (Micrófono y Voz)</t>
  </si>
  <si>
    <t>POR HACER</t>
  </si>
  <si>
    <t>1.5.2</t>
  </si>
  <si>
    <t>Pruebas finales + documentación entregable</t>
  </si>
  <si>
    <t>Métrica</t>
  </si>
  <si>
    <t>BAC (Σ Presupuesto paquete)</t>
  </si>
  <si>
    <t>PV total a la fecha (Σ PV)</t>
  </si>
  <si>
    <t>EV total (Σ EV)</t>
  </si>
  <si>
    <t>AC total (Σ AC)</t>
  </si>
  <si>
    <t>SV (EV - PV)</t>
  </si>
  <si>
    <t>CV (EV - AC)</t>
  </si>
  <si>
    <t>SPI (EV / PV)</t>
  </si>
  <si>
    <t>CPI (EV / AC)</t>
  </si>
  <si>
    <t>EAC (BAC / CPI)</t>
  </si>
  <si>
    <t>ETC (EAC - AC)</t>
  </si>
  <si>
    <t>VAC (BAC - EAC)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</si>
</sst>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yyyy-mm-dd"/>
    <numFmt numFmtId="165" formatCode="d-m-yyyy"/>
    <numFmt numFmtId="166" formatCode="dd-mm-yyyy"/>
    <numFmt numFmtId="167" formatCode="d.m"/>
  </numFmts>
  <fonts count="7">
    <font>
      <sz val="10.0"/>
      <color rgb="FF000000"/>
      <name val="Arial"/>
      <scheme val="minor"/>
    </font>
    <font>
      <b/>
      <sz val="12.0"/>
      <color rgb="FF000000"/>
      <name val="Calibri"/>
    </font>
    <font>
      <sz val="11.0"/>
      <color rgb="FF000000"/>
      <name val="Calibri"/>
    </font>
    <font>
      <b/>
      <i/>
      <sz val="11.0"/>
      <color rgb="FF000000"/>
      <name val="Calibri"/>
    </font>
    <font>
      <b/>
      <sz val="11.0"/>
      <color theme="1"/>
      <name val="Calibri"/>
    </font>
    <font>
      <color theme="1"/>
      <name val="Arial"/>
      <scheme val="minor"/>
    </font>
    <font>
      <b/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EEECE1"/>
        <bgColor rgb="FFEEECE1"/>
      </patternFill>
    </fill>
    <fill>
      <patternFill patternType="solid">
        <fgColor rgb="FFFDE9D9"/>
        <bgColor rgb="FFFDE9D9"/>
      </patternFill>
    </fill>
    <fill>
      <patternFill patternType="solid">
        <fgColor rgb="FF93C47D"/>
        <bgColor rgb="FF93C47D"/>
      </patternFill>
    </fill>
  </fills>
  <borders count="1">
    <border/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wrapText="0"/>
    </xf>
    <xf borderId="0" fillId="3" fontId="2" numFmtId="0" xfId="0" applyAlignment="1" applyFill="1" applyFont="1">
      <alignment shrinkToFit="0" vertical="bottom" wrapText="0"/>
    </xf>
    <xf borderId="0" fillId="3" fontId="3" numFmtId="0" xfId="0" applyAlignment="1" applyFont="1">
      <alignment readingOrder="0" shrinkToFit="0" vertical="bottom" wrapText="0"/>
    </xf>
    <xf borderId="0" fillId="3" fontId="2" numFmtId="0" xfId="0" applyAlignment="1" applyFont="1">
      <alignment readingOrder="0" shrinkToFit="0" vertical="bottom" wrapText="0"/>
    </xf>
    <xf borderId="0" fillId="0" fontId="4" numFmtId="0" xfId="0" applyAlignment="1" applyFont="1">
      <alignment horizontal="center" readingOrder="0"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bottom" wrapText="0"/>
    </xf>
    <xf borderId="0" fillId="0" fontId="2" numFmtId="164" xfId="0" applyAlignment="1" applyFont="1" applyNumberFormat="1">
      <alignment readingOrder="0" shrinkToFit="0" vertical="bottom" wrapText="0"/>
    </xf>
    <xf borderId="0" fillId="0" fontId="4" numFmtId="0" xfId="0" applyAlignment="1" applyFont="1">
      <alignment horizontal="center" readingOrder="0" shrinkToFit="0" wrapText="0"/>
    </xf>
    <xf borderId="0" fillId="0" fontId="5" numFmtId="49" xfId="0" applyAlignment="1" applyFont="1" applyNumberFormat="1">
      <alignment readingOrder="0"/>
    </xf>
    <xf borderId="0" fillId="0" fontId="5" numFmtId="0" xfId="0" applyAlignment="1" applyFont="1">
      <alignment readingOrder="0"/>
    </xf>
    <xf borderId="0" fillId="0" fontId="2" numFmtId="0" xfId="0" applyAlignment="1" applyFont="1">
      <alignment shrinkToFit="0" wrapText="0"/>
    </xf>
    <xf borderId="0" fillId="0" fontId="5" numFmtId="0" xfId="0" applyAlignment="1" applyFont="1">
      <alignment horizontal="left" readingOrder="0"/>
    </xf>
    <xf borderId="0" fillId="0" fontId="2" numFmtId="0" xfId="0" applyAlignment="1" applyFont="1">
      <alignment horizontal="right" readingOrder="0" shrinkToFit="0" wrapText="0"/>
    </xf>
    <xf borderId="0" fillId="0" fontId="2" numFmtId="0" xfId="0" applyAlignment="1" applyFont="1">
      <alignment readingOrder="0" shrinkToFit="0" wrapText="0"/>
    </xf>
    <xf borderId="0" fillId="4" fontId="2" numFmtId="0" xfId="0" applyAlignment="1" applyFill="1" applyFont="1">
      <alignment readingOrder="0" shrinkToFit="0" wrapText="0"/>
    </xf>
    <xf borderId="0" fillId="0" fontId="2" numFmtId="165" xfId="0" applyAlignment="1" applyFont="1" applyNumberFormat="1">
      <alignment readingOrder="0" shrinkToFit="0" wrapText="0"/>
    </xf>
    <xf borderId="0" fillId="0" fontId="2" numFmtId="166" xfId="0" applyAlignment="1" applyFont="1" applyNumberFormat="1">
      <alignment readingOrder="0" shrinkToFit="0" wrapText="0"/>
    </xf>
    <xf borderId="0" fillId="0" fontId="5" numFmtId="165" xfId="0" applyAlignment="1" applyFont="1" applyNumberFormat="1">
      <alignment readingOrder="0"/>
    </xf>
    <xf borderId="0" fillId="0" fontId="5" numFmtId="167" xfId="0" applyAlignment="1" applyFont="1" applyNumberFormat="1">
      <alignment horizontal="left" readingOrder="0"/>
    </xf>
    <xf borderId="0" fillId="0" fontId="2" numFmtId="0" xfId="0" applyAlignment="1" applyFont="1">
      <alignment horizontal="left" readingOrder="0" shrinkToFit="0" wrapText="0"/>
    </xf>
    <xf borderId="0" fillId="0" fontId="5" numFmtId="166" xfId="0" applyAlignment="1" applyFont="1" applyNumberFormat="1">
      <alignment readingOrder="0"/>
    </xf>
    <xf borderId="0" fillId="0" fontId="6" numFmtId="0" xfId="0" applyAlignment="1" applyFont="1">
      <alignment horizontal="left" readingOrder="0"/>
    </xf>
    <xf borderId="0" fillId="0" fontId="2" numFmtId="0" xfId="0" applyAlignment="1" applyFont="1">
      <alignment horizontal="center" readingOrder="0" shrinkToFit="0" vertical="bottom" wrapText="0"/>
    </xf>
    <xf borderId="0" fillId="0" fontId="4" numFmtId="0" xfId="0" applyAlignment="1" applyFont="1">
      <alignment readingOrder="0" shrinkToFit="0" vertical="bottom" wrapText="0"/>
    </xf>
    <xf borderId="0" fillId="0" fontId="4" numFmtId="0" xfId="0" applyAlignment="1" applyFont="1">
      <alignment shrinkToFit="0" vertical="bottom" wrapText="0"/>
    </xf>
    <xf borderId="0" fillId="0" fontId="2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657225</xdr:colOff>
      <xdr:row>28</xdr:row>
      <xdr:rowOff>38100</xdr:rowOff>
    </xdr:from>
    <xdr:ext cx="19507200" cy="207645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6.63"/>
  </cols>
  <sheetData>
    <row r="1">
      <c r="A1" s="1" t="s">
        <v>0</v>
      </c>
    </row>
    <row r="2">
      <c r="A2" s="2"/>
    </row>
    <row r="3">
      <c r="A3" s="3" t="s">
        <v>1</v>
      </c>
    </row>
    <row r="4">
      <c r="A4" s="4" t="s">
        <v>2</v>
      </c>
    </row>
    <row r="5">
      <c r="A5" s="4" t="s">
        <v>3</v>
      </c>
    </row>
    <row r="6">
      <c r="A6" s="4" t="s">
        <v>4</v>
      </c>
    </row>
    <row r="7">
      <c r="A7" s="4" t="s">
        <v>5</v>
      </c>
    </row>
    <row r="8">
      <c r="A8" s="2"/>
    </row>
    <row r="9">
      <c r="A9" s="3" t="s">
        <v>6</v>
      </c>
    </row>
    <row r="10">
      <c r="A10" s="4" t="s">
        <v>7</v>
      </c>
    </row>
    <row r="11">
      <c r="A11" s="4" t="s">
        <v>8</v>
      </c>
    </row>
    <row r="12">
      <c r="A12" s="4" t="s">
        <v>9</v>
      </c>
    </row>
    <row r="13">
      <c r="A13" s="4" t="s">
        <v>10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88"/>
  </cols>
  <sheetData>
    <row r="1">
      <c r="A1" s="5" t="s">
        <v>11</v>
      </c>
      <c r="B1" s="5" t="s">
        <v>12</v>
      </c>
    </row>
    <row r="2">
      <c r="A2" s="6" t="s">
        <v>13</v>
      </c>
      <c r="B2" s="7">
        <v>100000.0</v>
      </c>
    </row>
    <row r="3">
      <c r="A3" s="6" t="s">
        <v>14</v>
      </c>
      <c r="B3" s="8">
        <v>45958.0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54.5"/>
    <col customWidth="1" min="4" max="4" width="14.5"/>
    <col customWidth="1" min="5" max="5" width="18.25"/>
    <col customWidth="1" min="6" max="6" width="25.0"/>
    <col customWidth="1" min="7" max="7" width="22.75"/>
    <col customWidth="1" min="9" max="9" width="19.38"/>
    <col customWidth="1" min="11" max="11" width="19.63"/>
    <col customWidth="1" min="14" max="14" width="24.0"/>
  </cols>
  <sheetData>
    <row r="1">
      <c r="A1" s="9" t="s">
        <v>15</v>
      </c>
      <c r="B1" s="9" t="s">
        <v>16</v>
      </c>
      <c r="C1" s="9" t="s">
        <v>17</v>
      </c>
      <c r="D1" s="9" t="s">
        <v>18</v>
      </c>
      <c r="E1" s="9" t="s">
        <v>19</v>
      </c>
      <c r="F1" s="9" t="s">
        <v>20</v>
      </c>
      <c r="G1" s="9" t="s">
        <v>21</v>
      </c>
      <c r="H1" s="9" t="s">
        <v>22</v>
      </c>
      <c r="I1" s="9" t="s">
        <v>23</v>
      </c>
      <c r="J1" s="9" t="s">
        <v>24</v>
      </c>
      <c r="K1" s="9" t="s">
        <v>25</v>
      </c>
      <c r="L1" s="9" t="s">
        <v>26</v>
      </c>
      <c r="M1" s="9" t="s">
        <v>27</v>
      </c>
      <c r="N1" s="9" t="s">
        <v>28</v>
      </c>
      <c r="O1" s="9" t="s">
        <v>29</v>
      </c>
      <c r="P1" s="9" t="s">
        <v>30</v>
      </c>
      <c r="Q1" s="9" t="s">
        <v>31</v>
      </c>
      <c r="R1" s="9" t="s">
        <v>32</v>
      </c>
    </row>
    <row r="2">
      <c r="A2" s="10" t="s">
        <v>33</v>
      </c>
      <c r="B2" s="11" t="s">
        <v>34</v>
      </c>
      <c r="C2" s="12"/>
      <c r="D2" s="13">
        <v>3.0</v>
      </c>
      <c r="E2" s="14">
        <f>Config!$B$2</f>
        <v>100000</v>
      </c>
      <c r="F2" s="14">
        <f t="shared" ref="F2:F14" si="1">D2*E2</f>
        <v>300000</v>
      </c>
      <c r="G2" s="15">
        <v>1.0</v>
      </c>
      <c r="H2" s="14">
        <f t="shared" ref="H2:H14" si="2">F2*G2</f>
        <v>300000</v>
      </c>
      <c r="I2" s="15">
        <v>1.0</v>
      </c>
      <c r="J2" s="14">
        <f t="shared" ref="J2:J14" si="3">F2*I2</f>
        <v>300000</v>
      </c>
      <c r="K2" s="15">
        <v>350000.0</v>
      </c>
      <c r="L2" s="14">
        <f t="shared" ref="L2:L14" si="4">J2-H2</f>
        <v>0</v>
      </c>
      <c r="M2" s="14">
        <f t="shared" ref="M2:M14" si="5">J2-K2</f>
        <v>-50000</v>
      </c>
      <c r="N2" s="15" t="s">
        <v>35</v>
      </c>
      <c r="O2" s="16" t="s">
        <v>36</v>
      </c>
      <c r="P2" s="17">
        <v>45951.0</v>
      </c>
      <c r="Q2" s="18">
        <v>45972.0</v>
      </c>
      <c r="R2" s="17">
        <v>45957.0</v>
      </c>
    </row>
    <row r="3">
      <c r="A3" s="10" t="s">
        <v>37</v>
      </c>
      <c r="B3" s="11" t="s">
        <v>38</v>
      </c>
      <c r="C3" s="12"/>
      <c r="D3" s="13">
        <v>8.0</v>
      </c>
      <c r="E3" s="14">
        <f>Config!$B$2</f>
        <v>100000</v>
      </c>
      <c r="F3" s="14">
        <f t="shared" si="1"/>
        <v>800000</v>
      </c>
      <c r="G3" s="15">
        <v>1.0</v>
      </c>
      <c r="H3" s="14">
        <f t="shared" si="2"/>
        <v>800000</v>
      </c>
      <c r="I3" s="15">
        <v>1.0</v>
      </c>
      <c r="J3" s="14">
        <f t="shared" si="3"/>
        <v>800000</v>
      </c>
      <c r="K3" s="15">
        <v>300000.0</v>
      </c>
      <c r="L3" s="14">
        <f t="shared" si="4"/>
        <v>0</v>
      </c>
      <c r="M3" s="14">
        <f t="shared" si="5"/>
        <v>500000</v>
      </c>
      <c r="N3" s="15" t="s">
        <v>35</v>
      </c>
      <c r="O3" s="16" t="s">
        <v>36</v>
      </c>
      <c r="P3" s="17">
        <v>45951.0</v>
      </c>
      <c r="Q3" s="18">
        <v>45973.0</v>
      </c>
      <c r="R3" s="17">
        <v>45958.0</v>
      </c>
    </row>
    <row r="4">
      <c r="A4" s="10" t="s">
        <v>39</v>
      </c>
      <c r="B4" s="11" t="s">
        <v>40</v>
      </c>
      <c r="C4" s="12"/>
      <c r="D4" s="13">
        <v>5.0</v>
      </c>
      <c r="E4" s="14">
        <f>Config!$B$2</f>
        <v>100000</v>
      </c>
      <c r="F4" s="14">
        <f t="shared" si="1"/>
        <v>500000</v>
      </c>
      <c r="G4" s="15">
        <v>1.0</v>
      </c>
      <c r="H4" s="14">
        <f t="shared" si="2"/>
        <v>500000</v>
      </c>
      <c r="I4" s="15">
        <v>1.0</v>
      </c>
      <c r="J4" s="14">
        <f t="shared" si="3"/>
        <v>500000</v>
      </c>
      <c r="K4" s="15">
        <v>200000.0</v>
      </c>
      <c r="L4" s="14">
        <f t="shared" si="4"/>
        <v>0</v>
      </c>
      <c r="M4" s="14">
        <f t="shared" si="5"/>
        <v>300000</v>
      </c>
      <c r="N4" s="15" t="s">
        <v>35</v>
      </c>
      <c r="O4" s="16" t="s">
        <v>36</v>
      </c>
      <c r="P4" s="17">
        <v>45951.0</v>
      </c>
      <c r="Q4" s="18">
        <v>45974.0</v>
      </c>
      <c r="R4" s="17">
        <v>45959.0</v>
      </c>
    </row>
    <row r="5">
      <c r="A5" s="10" t="s">
        <v>39</v>
      </c>
      <c r="B5" s="11" t="s">
        <v>41</v>
      </c>
      <c r="C5" s="12"/>
      <c r="D5" s="13">
        <v>3.0</v>
      </c>
      <c r="E5" s="14">
        <f>Config!$B$2</f>
        <v>100000</v>
      </c>
      <c r="F5" s="14">
        <f t="shared" si="1"/>
        <v>300000</v>
      </c>
      <c r="G5" s="15">
        <v>1.0</v>
      </c>
      <c r="H5" s="14">
        <f t="shared" si="2"/>
        <v>300000</v>
      </c>
      <c r="I5" s="15">
        <v>1.0</v>
      </c>
      <c r="J5" s="14">
        <f t="shared" si="3"/>
        <v>300000</v>
      </c>
      <c r="K5" s="15">
        <v>240000.0</v>
      </c>
      <c r="L5" s="14">
        <f t="shared" si="4"/>
        <v>0</v>
      </c>
      <c r="M5" s="14">
        <f t="shared" si="5"/>
        <v>60000</v>
      </c>
      <c r="N5" s="15" t="s">
        <v>42</v>
      </c>
      <c r="O5" s="16" t="s">
        <v>36</v>
      </c>
      <c r="P5" s="17">
        <v>45951.0</v>
      </c>
      <c r="Q5" s="18">
        <v>45975.0</v>
      </c>
      <c r="R5" s="17">
        <v>45959.0</v>
      </c>
    </row>
    <row r="6">
      <c r="A6" s="10" t="s">
        <v>39</v>
      </c>
      <c r="B6" s="11" t="s">
        <v>43</v>
      </c>
      <c r="C6" s="12"/>
      <c r="D6" s="13">
        <v>5.0</v>
      </c>
      <c r="E6" s="14">
        <f>Config!$B$2</f>
        <v>100000</v>
      </c>
      <c r="F6" s="14">
        <f t="shared" si="1"/>
        <v>500000</v>
      </c>
      <c r="G6" s="15">
        <v>1.0</v>
      </c>
      <c r="H6" s="14">
        <f t="shared" si="2"/>
        <v>500000</v>
      </c>
      <c r="I6" s="15">
        <v>1.0</v>
      </c>
      <c r="J6" s="14">
        <f t="shared" si="3"/>
        <v>500000</v>
      </c>
      <c r="K6" s="15">
        <v>200000.0</v>
      </c>
      <c r="L6" s="14">
        <f t="shared" si="4"/>
        <v>0</v>
      </c>
      <c r="M6" s="14">
        <f t="shared" si="5"/>
        <v>300000</v>
      </c>
      <c r="N6" s="15" t="s">
        <v>44</v>
      </c>
      <c r="O6" s="16" t="s">
        <v>36</v>
      </c>
      <c r="P6" s="17">
        <v>45951.0</v>
      </c>
      <c r="Q6" s="18">
        <v>45976.0</v>
      </c>
      <c r="R6" s="17">
        <v>45959.0</v>
      </c>
    </row>
    <row r="7">
      <c r="A7" s="10" t="s">
        <v>45</v>
      </c>
      <c r="B7" s="11" t="s">
        <v>46</v>
      </c>
      <c r="C7" s="12"/>
      <c r="D7" s="13">
        <v>5.0</v>
      </c>
      <c r="E7" s="14">
        <f>Config!$B$2</f>
        <v>100000</v>
      </c>
      <c r="F7" s="14">
        <f t="shared" si="1"/>
        <v>500000</v>
      </c>
      <c r="G7" s="15">
        <v>1.0</v>
      </c>
      <c r="H7" s="14">
        <f t="shared" si="2"/>
        <v>500000</v>
      </c>
      <c r="I7" s="15">
        <v>1.0</v>
      </c>
      <c r="J7" s="14">
        <f t="shared" si="3"/>
        <v>500000</v>
      </c>
      <c r="K7" s="15">
        <v>250000.0</v>
      </c>
      <c r="L7" s="14">
        <f t="shared" si="4"/>
        <v>0</v>
      </c>
      <c r="M7" s="14">
        <f t="shared" si="5"/>
        <v>250000</v>
      </c>
      <c r="N7" s="15" t="s">
        <v>35</v>
      </c>
      <c r="O7" s="16" t="s">
        <v>36</v>
      </c>
      <c r="P7" s="17">
        <v>45951.0</v>
      </c>
      <c r="Q7" s="18">
        <v>45977.0</v>
      </c>
      <c r="R7" s="18">
        <v>45962.0</v>
      </c>
    </row>
    <row r="8">
      <c r="A8" s="10" t="s">
        <v>37</v>
      </c>
      <c r="B8" s="11" t="s">
        <v>47</v>
      </c>
      <c r="C8" s="12"/>
      <c r="D8" s="13">
        <v>2.0</v>
      </c>
      <c r="E8" s="14">
        <f>Config!$B$2</f>
        <v>100000</v>
      </c>
      <c r="F8" s="14">
        <f t="shared" si="1"/>
        <v>200000</v>
      </c>
      <c r="G8" s="15">
        <v>1.0</v>
      </c>
      <c r="H8" s="14">
        <f t="shared" si="2"/>
        <v>200000</v>
      </c>
      <c r="I8" s="15">
        <v>1.0</v>
      </c>
      <c r="J8" s="14">
        <f t="shared" si="3"/>
        <v>200000</v>
      </c>
      <c r="K8" s="15">
        <v>400000.0</v>
      </c>
      <c r="L8" s="14">
        <f t="shared" si="4"/>
        <v>0</v>
      </c>
      <c r="M8" s="14">
        <f t="shared" si="5"/>
        <v>-200000</v>
      </c>
      <c r="N8" s="15" t="s">
        <v>42</v>
      </c>
      <c r="O8" s="16" t="s">
        <v>36</v>
      </c>
      <c r="P8" s="17">
        <v>45951.0</v>
      </c>
      <c r="Q8" s="18">
        <v>45978.0</v>
      </c>
      <c r="R8" s="18">
        <v>45962.0</v>
      </c>
    </row>
    <row r="9">
      <c r="A9" s="10" t="s">
        <v>48</v>
      </c>
      <c r="B9" s="11" t="s">
        <v>49</v>
      </c>
      <c r="C9" s="12"/>
      <c r="D9" s="13">
        <v>2.0</v>
      </c>
      <c r="E9" s="14">
        <f>Config!$B$2</f>
        <v>100000</v>
      </c>
      <c r="F9" s="14">
        <f t="shared" si="1"/>
        <v>200000</v>
      </c>
      <c r="G9" s="15">
        <v>1.0</v>
      </c>
      <c r="H9" s="14">
        <f t="shared" si="2"/>
        <v>200000</v>
      </c>
      <c r="I9" s="15">
        <v>1.0</v>
      </c>
      <c r="J9" s="14">
        <f t="shared" si="3"/>
        <v>200000</v>
      </c>
      <c r="K9" s="15">
        <v>200000.0</v>
      </c>
      <c r="L9" s="14">
        <f t="shared" si="4"/>
        <v>0</v>
      </c>
      <c r="M9" s="14">
        <f t="shared" si="5"/>
        <v>0</v>
      </c>
      <c r="N9" s="15" t="s">
        <v>35</v>
      </c>
      <c r="O9" s="16" t="s">
        <v>36</v>
      </c>
      <c r="P9" s="17">
        <v>45951.0</v>
      </c>
      <c r="Q9" s="18">
        <v>45979.0</v>
      </c>
      <c r="R9" s="18">
        <v>45962.0</v>
      </c>
    </row>
    <row r="10">
      <c r="A10" s="10" t="s">
        <v>39</v>
      </c>
      <c r="B10" s="11" t="s">
        <v>50</v>
      </c>
      <c r="C10" s="12"/>
      <c r="D10" s="13">
        <v>3.0</v>
      </c>
      <c r="E10" s="14">
        <f>Config!$B$2</f>
        <v>100000</v>
      </c>
      <c r="F10" s="14">
        <f t="shared" si="1"/>
        <v>300000</v>
      </c>
      <c r="G10" s="15">
        <v>1.0</v>
      </c>
      <c r="H10" s="14">
        <f t="shared" si="2"/>
        <v>300000</v>
      </c>
      <c r="I10" s="15">
        <v>1.0</v>
      </c>
      <c r="J10" s="14">
        <f t="shared" si="3"/>
        <v>300000</v>
      </c>
      <c r="K10" s="15">
        <v>240000.0</v>
      </c>
      <c r="L10" s="14">
        <f t="shared" si="4"/>
        <v>0</v>
      </c>
      <c r="M10" s="14">
        <f t="shared" si="5"/>
        <v>60000</v>
      </c>
      <c r="N10" s="15" t="s">
        <v>51</v>
      </c>
      <c r="O10" s="16" t="s">
        <v>36</v>
      </c>
      <c r="P10" s="17">
        <v>45951.0</v>
      </c>
      <c r="Q10" s="18">
        <v>45980.0</v>
      </c>
      <c r="R10" s="17">
        <v>45956.0</v>
      </c>
    </row>
    <row r="11">
      <c r="A11" s="10" t="s">
        <v>45</v>
      </c>
      <c r="B11" s="11" t="s">
        <v>52</v>
      </c>
      <c r="C11" s="12"/>
      <c r="D11" s="13">
        <v>3.0</v>
      </c>
      <c r="E11" s="14">
        <f>Config!$B$2</f>
        <v>100000</v>
      </c>
      <c r="F11" s="14">
        <f t="shared" si="1"/>
        <v>300000</v>
      </c>
      <c r="G11" s="15">
        <v>1.0</v>
      </c>
      <c r="H11" s="14">
        <f t="shared" si="2"/>
        <v>300000</v>
      </c>
      <c r="I11" s="15">
        <v>1.0</v>
      </c>
      <c r="J11" s="14">
        <f t="shared" si="3"/>
        <v>300000</v>
      </c>
      <c r="K11" s="15">
        <v>290000.0</v>
      </c>
      <c r="L11" s="14">
        <f t="shared" si="4"/>
        <v>0</v>
      </c>
      <c r="M11" s="14">
        <f t="shared" si="5"/>
        <v>10000</v>
      </c>
      <c r="N11" s="15" t="s">
        <v>53</v>
      </c>
      <c r="O11" s="16" t="s">
        <v>36</v>
      </c>
      <c r="P11" s="17">
        <v>45951.0</v>
      </c>
      <c r="Q11" s="18">
        <v>45981.0</v>
      </c>
      <c r="R11" s="17">
        <v>45956.0</v>
      </c>
    </row>
    <row r="12">
      <c r="A12" s="10" t="s">
        <v>54</v>
      </c>
      <c r="B12" s="11" t="s">
        <v>55</v>
      </c>
      <c r="C12" s="12"/>
      <c r="D12" s="13">
        <v>5.0</v>
      </c>
      <c r="E12" s="14">
        <f>Config!$B$2</f>
        <v>100000</v>
      </c>
      <c r="F12" s="14">
        <f t="shared" si="1"/>
        <v>500000</v>
      </c>
      <c r="G12" s="15">
        <v>1.0</v>
      </c>
      <c r="H12" s="14">
        <f t="shared" si="2"/>
        <v>500000</v>
      </c>
      <c r="I12" s="15">
        <v>1.0</v>
      </c>
      <c r="J12" s="14">
        <f t="shared" si="3"/>
        <v>500000</v>
      </c>
      <c r="K12" s="15">
        <v>190000.0</v>
      </c>
      <c r="L12" s="14">
        <f t="shared" si="4"/>
        <v>0</v>
      </c>
      <c r="M12" s="14">
        <f t="shared" si="5"/>
        <v>310000</v>
      </c>
      <c r="N12" s="15" t="s">
        <v>51</v>
      </c>
      <c r="O12" s="16" t="s">
        <v>36</v>
      </c>
      <c r="P12" s="17">
        <v>45951.0</v>
      </c>
      <c r="Q12" s="18">
        <v>45982.0</v>
      </c>
      <c r="R12" s="18">
        <v>45966.0</v>
      </c>
    </row>
    <row r="13">
      <c r="A13" s="10" t="s">
        <v>56</v>
      </c>
      <c r="B13" s="11" t="s">
        <v>57</v>
      </c>
      <c r="C13" s="12"/>
      <c r="D13" s="13">
        <v>2.0</v>
      </c>
      <c r="E13" s="14">
        <f>Config!$B$2</f>
        <v>100000</v>
      </c>
      <c r="F13" s="14">
        <f t="shared" si="1"/>
        <v>200000</v>
      </c>
      <c r="G13" s="15">
        <v>1.0</v>
      </c>
      <c r="H13" s="14">
        <f t="shared" si="2"/>
        <v>200000</v>
      </c>
      <c r="I13" s="15">
        <v>1.0</v>
      </c>
      <c r="J13" s="14">
        <f t="shared" si="3"/>
        <v>200000</v>
      </c>
      <c r="K13" s="15">
        <v>300000.0</v>
      </c>
      <c r="L13" s="14">
        <f t="shared" si="4"/>
        <v>0</v>
      </c>
      <c r="M13" s="14">
        <f t="shared" si="5"/>
        <v>-100000</v>
      </c>
      <c r="N13" s="15" t="s">
        <v>58</v>
      </c>
      <c r="O13" s="16" t="s">
        <v>36</v>
      </c>
      <c r="P13" s="17">
        <v>45951.0</v>
      </c>
      <c r="Q13" s="18">
        <v>45983.0</v>
      </c>
      <c r="R13" s="18">
        <v>45968.0</v>
      </c>
    </row>
    <row r="14">
      <c r="A14" s="10" t="s">
        <v>37</v>
      </c>
      <c r="B14" s="11" t="s">
        <v>59</v>
      </c>
      <c r="C14" s="12"/>
      <c r="D14" s="13">
        <v>8.0</v>
      </c>
      <c r="E14" s="14">
        <f>Config!$B$2</f>
        <v>100000</v>
      </c>
      <c r="F14" s="14">
        <f t="shared" si="1"/>
        <v>800000</v>
      </c>
      <c r="G14" s="15">
        <v>1.0</v>
      </c>
      <c r="H14" s="14">
        <f t="shared" si="2"/>
        <v>800000</v>
      </c>
      <c r="I14" s="15">
        <v>1.0</v>
      </c>
      <c r="J14" s="14">
        <f t="shared" si="3"/>
        <v>800000</v>
      </c>
      <c r="K14" s="15">
        <v>350000.0</v>
      </c>
      <c r="L14" s="14">
        <f t="shared" si="4"/>
        <v>0</v>
      </c>
      <c r="M14" s="14">
        <f t="shared" si="5"/>
        <v>450000</v>
      </c>
      <c r="N14" s="15" t="s">
        <v>51</v>
      </c>
      <c r="O14" s="16" t="s">
        <v>36</v>
      </c>
      <c r="P14" s="17">
        <v>45951.0</v>
      </c>
      <c r="Q14" s="18">
        <v>45984.0</v>
      </c>
      <c r="R14" s="17">
        <v>45971.0</v>
      </c>
    </row>
    <row r="15">
      <c r="A15" s="10" t="s">
        <v>37</v>
      </c>
      <c r="B15" s="11" t="s">
        <v>60</v>
      </c>
      <c r="D15" s="13">
        <v>10.0</v>
      </c>
      <c r="E15" s="11">
        <v>100000.0</v>
      </c>
      <c r="F15" s="11">
        <v>1000000.0</v>
      </c>
      <c r="G15" s="11">
        <v>1.0</v>
      </c>
      <c r="H15" s="11">
        <v>1000000.0</v>
      </c>
      <c r="I15" s="11">
        <v>1.0</v>
      </c>
      <c r="J15" s="11">
        <v>1000000.0</v>
      </c>
      <c r="K15" s="11">
        <v>950000.0</v>
      </c>
      <c r="L15" s="11">
        <v>0.0</v>
      </c>
      <c r="M15" s="11">
        <v>50000.0</v>
      </c>
      <c r="N15" s="11" t="s">
        <v>53</v>
      </c>
      <c r="O15" s="11" t="s">
        <v>36</v>
      </c>
      <c r="P15" s="19">
        <v>45980.0</v>
      </c>
      <c r="Q15" s="19">
        <v>45991.0</v>
      </c>
      <c r="R15" s="19">
        <v>45990.0</v>
      </c>
    </row>
    <row r="16">
      <c r="A16" s="10" t="s">
        <v>39</v>
      </c>
      <c r="B16" s="11" t="s">
        <v>61</v>
      </c>
      <c r="D16" s="13">
        <v>8.0</v>
      </c>
      <c r="E16" s="11">
        <v>100000.0</v>
      </c>
      <c r="F16" s="11">
        <v>800000.0</v>
      </c>
      <c r="G16" s="11">
        <v>1.0</v>
      </c>
      <c r="H16" s="11">
        <v>800000.0</v>
      </c>
      <c r="I16" s="11">
        <v>1.0</v>
      </c>
      <c r="J16" s="11">
        <v>800000.0</v>
      </c>
      <c r="K16" s="11">
        <v>820000.0</v>
      </c>
      <c r="L16" s="11">
        <v>0.0</v>
      </c>
      <c r="M16" s="11">
        <v>-20000.0</v>
      </c>
      <c r="N16" s="11" t="s">
        <v>62</v>
      </c>
      <c r="O16" s="11" t="s">
        <v>36</v>
      </c>
      <c r="P16" s="19">
        <v>45980.0</v>
      </c>
      <c r="Q16" s="19">
        <v>45991.0</v>
      </c>
      <c r="R16" s="19">
        <v>45991.0</v>
      </c>
    </row>
    <row r="17">
      <c r="A17" s="10" t="s">
        <v>37</v>
      </c>
      <c r="B17" s="11" t="s">
        <v>63</v>
      </c>
      <c r="D17" s="13">
        <v>5.0</v>
      </c>
      <c r="E17" s="11">
        <v>100000.0</v>
      </c>
      <c r="F17" s="11">
        <v>500000.0</v>
      </c>
      <c r="G17" s="11">
        <v>1.0</v>
      </c>
      <c r="H17" s="11">
        <v>500000.0</v>
      </c>
      <c r="I17" s="11">
        <v>1.0</v>
      </c>
      <c r="J17" s="11">
        <v>500000.0</v>
      </c>
      <c r="K17" s="11">
        <v>470000.0</v>
      </c>
      <c r="L17" s="11">
        <v>0.0</v>
      </c>
      <c r="M17" s="11">
        <v>30000.0</v>
      </c>
      <c r="N17" s="11" t="s">
        <v>35</v>
      </c>
      <c r="O17" s="11" t="s">
        <v>36</v>
      </c>
      <c r="P17" s="19">
        <v>45980.0</v>
      </c>
      <c r="Q17" s="19">
        <v>45991.0</v>
      </c>
      <c r="R17" s="19">
        <v>45989.0</v>
      </c>
    </row>
    <row r="18">
      <c r="A18" s="20">
        <v>37288.0</v>
      </c>
      <c r="B18" s="11" t="s">
        <v>64</v>
      </c>
      <c r="D18" s="13">
        <v>5.0</v>
      </c>
      <c r="E18" s="11">
        <v>100000.0</v>
      </c>
      <c r="F18" s="11">
        <v>500000.0</v>
      </c>
      <c r="G18" s="11">
        <v>1.0</v>
      </c>
      <c r="H18" s="11">
        <v>500000.0</v>
      </c>
      <c r="I18" s="11">
        <v>1.0</v>
      </c>
      <c r="J18" s="11">
        <v>500000.0</v>
      </c>
      <c r="K18" s="11">
        <v>550000.0</v>
      </c>
      <c r="L18" s="11">
        <v>0.0</v>
      </c>
      <c r="M18" s="11">
        <v>-50000.0</v>
      </c>
      <c r="N18" s="11" t="s">
        <v>44</v>
      </c>
      <c r="O18" s="11" t="s">
        <v>36</v>
      </c>
      <c r="P18" s="19">
        <v>45980.0</v>
      </c>
      <c r="Q18" s="19">
        <v>45991.0</v>
      </c>
      <c r="R18" s="19">
        <v>45988.0</v>
      </c>
    </row>
    <row r="19">
      <c r="A19" s="10" t="s">
        <v>33</v>
      </c>
      <c r="B19" s="15" t="s">
        <v>65</v>
      </c>
      <c r="C19" s="12"/>
      <c r="D19" s="21">
        <v>8.0</v>
      </c>
      <c r="E19" s="14">
        <v>100000.0</v>
      </c>
      <c r="F19" s="14">
        <v>800000.0</v>
      </c>
      <c r="G19" s="15">
        <v>1.0</v>
      </c>
      <c r="H19" s="14">
        <v>800000.0</v>
      </c>
      <c r="I19" s="15">
        <v>1.0</v>
      </c>
      <c r="J19" s="14">
        <v>800000.0</v>
      </c>
      <c r="K19" s="12"/>
      <c r="L19" s="14"/>
      <c r="M19" s="14"/>
      <c r="N19" s="15" t="s">
        <v>66</v>
      </c>
      <c r="O19" s="15" t="s">
        <v>67</v>
      </c>
      <c r="P19" s="18">
        <v>45992.0</v>
      </c>
      <c r="Q19" s="19">
        <v>46006.0</v>
      </c>
    </row>
    <row r="20">
      <c r="A20" s="10" t="s">
        <v>68</v>
      </c>
      <c r="B20" s="15" t="s">
        <v>69</v>
      </c>
      <c r="C20" s="12"/>
      <c r="D20" s="21">
        <v>5.0</v>
      </c>
      <c r="E20" s="14">
        <v>100000.0</v>
      </c>
      <c r="F20" s="14">
        <v>500000.0</v>
      </c>
      <c r="G20" s="15">
        <v>1.0</v>
      </c>
      <c r="H20" s="14">
        <v>500000.0</v>
      </c>
      <c r="I20" s="15">
        <v>1.0</v>
      </c>
      <c r="J20" s="14">
        <v>500000.0</v>
      </c>
      <c r="K20" s="12"/>
      <c r="L20" s="14"/>
      <c r="M20" s="14"/>
      <c r="N20" s="15" t="s">
        <v>51</v>
      </c>
      <c r="O20" s="15" t="s">
        <v>67</v>
      </c>
      <c r="P20" s="18">
        <v>45992.0</v>
      </c>
      <c r="Q20" s="19">
        <v>46006.0</v>
      </c>
    </row>
    <row r="21">
      <c r="A21" s="10" t="s">
        <v>70</v>
      </c>
      <c r="B21" s="15" t="s">
        <v>71</v>
      </c>
      <c r="C21" s="12"/>
      <c r="D21" s="21">
        <v>8.0</v>
      </c>
      <c r="E21" s="14">
        <v>100000.0</v>
      </c>
      <c r="F21" s="14">
        <v>800000.0</v>
      </c>
      <c r="G21" s="15">
        <v>1.0</v>
      </c>
      <c r="H21" s="14">
        <v>800000.0</v>
      </c>
      <c r="I21" s="15">
        <v>1.0</v>
      </c>
      <c r="J21" s="14">
        <v>800000.0</v>
      </c>
      <c r="K21" s="12"/>
      <c r="L21" s="14"/>
      <c r="M21" s="14"/>
      <c r="N21" s="15" t="s">
        <v>44</v>
      </c>
      <c r="O21" s="15" t="s">
        <v>72</v>
      </c>
      <c r="P21" s="18">
        <v>45992.0</v>
      </c>
      <c r="Q21" s="19">
        <v>46006.0</v>
      </c>
    </row>
    <row r="22">
      <c r="A22" s="10" t="s">
        <v>73</v>
      </c>
      <c r="B22" s="11" t="s">
        <v>74</v>
      </c>
      <c r="D22" s="13">
        <v>5.0</v>
      </c>
      <c r="E22" s="11">
        <v>100000.0</v>
      </c>
      <c r="F22" s="11">
        <v>500000.0</v>
      </c>
      <c r="G22" s="11">
        <v>1.0</v>
      </c>
      <c r="H22" s="11">
        <v>500000.0</v>
      </c>
      <c r="I22" s="11">
        <v>1.0</v>
      </c>
      <c r="J22" s="11">
        <v>500000.0</v>
      </c>
      <c r="N22" s="11" t="s">
        <v>62</v>
      </c>
      <c r="O22" s="11" t="s">
        <v>67</v>
      </c>
      <c r="P22" s="22">
        <v>45992.0</v>
      </c>
      <c r="Q22" s="19">
        <v>46006.0</v>
      </c>
    </row>
    <row r="33">
      <c r="C33" s="23"/>
      <c r="D33" s="23"/>
      <c r="E33" s="23"/>
      <c r="F33" s="23"/>
      <c r="G33" s="23"/>
    </row>
    <row r="34">
      <c r="C34" s="13"/>
      <c r="D34" s="13"/>
      <c r="E34" s="13"/>
      <c r="F34" s="13"/>
      <c r="G34" s="13"/>
    </row>
    <row r="35">
      <c r="C35" s="13"/>
      <c r="D35" s="13"/>
      <c r="E35" s="13"/>
      <c r="F35" s="13"/>
      <c r="G35" s="13"/>
    </row>
    <row r="36">
      <c r="C36" s="13"/>
      <c r="D36" s="13"/>
      <c r="E36" s="13"/>
      <c r="F36" s="13"/>
      <c r="G36" s="13"/>
    </row>
    <row r="37">
      <c r="C37" s="13"/>
      <c r="D37" s="13"/>
      <c r="E37" s="13"/>
      <c r="F37" s="13"/>
      <c r="G37" s="13"/>
    </row>
    <row r="38">
      <c r="C38" s="13"/>
      <c r="D38" s="13"/>
      <c r="E38" s="13"/>
      <c r="F38" s="13"/>
      <c r="G38" s="13"/>
    </row>
    <row r="39">
      <c r="C39" s="13"/>
      <c r="D39" s="13"/>
      <c r="E39" s="13"/>
      <c r="F39" s="13"/>
      <c r="G39" s="13"/>
    </row>
    <row r="40">
      <c r="C40" s="13"/>
      <c r="D40" s="13"/>
      <c r="E40" s="13"/>
      <c r="F40" s="13"/>
      <c r="G40" s="13"/>
    </row>
    <row r="41">
      <c r="C41" s="13"/>
      <c r="D41" s="13"/>
      <c r="E41" s="13"/>
      <c r="F41" s="13"/>
      <c r="G41" s="13"/>
    </row>
    <row r="42">
      <c r="C42" s="13"/>
      <c r="D42" s="13"/>
      <c r="E42" s="13"/>
      <c r="F42" s="13"/>
      <c r="G42" s="13"/>
    </row>
    <row r="43">
      <c r="C43" s="13"/>
      <c r="D43" s="13"/>
      <c r="E43" s="13"/>
      <c r="F43" s="13"/>
      <c r="G43" s="13"/>
    </row>
    <row r="44">
      <c r="C44" s="13"/>
      <c r="D44" s="13"/>
      <c r="E44" s="13"/>
      <c r="F44" s="13"/>
      <c r="G44" s="13"/>
    </row>
    <row r="45">
      <c r="C45" s="13"/>
      <c r="D45" s="13"/>
      <c r="E45" s="13"/>
      <c r="F45" s="13"/>
      <c r="G45" s="13"/>
    </row>
    <row r="46">
      <c r="C46" s="13"/>
      <c r="D46" s="13"/>
      <c r="E46" s="13"/>
      <c r="F46" s="13"/>
      <c r="G46" s="13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0"/>
  </cols>
  <sheetData>
    <row r="1">
      <c r="A1" s="5" t="s">
        <v>75</v>
      </c>
      <c r="B1" s="24" t="s">
        <v>12</v>
      </c>
    </row>
    <row r="2">
      <c r="A2" s="25" t="s">
        <v>76</v>
      </c>
      <c r="B2" s="7">
        <f>SUM('WBS-EV'!F2:F1000)</f>
        <v>10800000</v>
      </c>
    </row>
    <row r="3">
      <c r="A3" s="25" t="s">
        <v>77</v>
      </c>
      <c r="B3" s="7">
        <f>SUM('WBS-EV'!H2:H1000)</f>
        <v>10800000</v>
      </c>
    </row>
    <row r="4">
      <c r="A4" s="25" t="s">
        <v>78</v>
      </c>
      <c r="B4" s="7">
        <f>SUM('WBS-EV'!J2:J1000)</f>
        <v>10800000</v>
      </c>
    </row>
    <row r="5">
      <c r="A5" s="25" t="s">
        <v>79</v>
      </c>
      <c r="B5" s="7">
        <f>SUM('WBS-EV'!K2:K1000)</f>
        <v>6300000</v>
      </c>
    </row>
    <row r="6">
      <c r="A6" s="26"/>
      <c r="B6" s="27"/>
    </row>
    <row r="7">
      <c r="A7" s="25" t="s">
        <v>80</v>
      </c>
      <c r="B7" s="7">
        <f>B4-B3</f>
        <v>0</v>
      </c>
    </row>
    <row r="8">
      <c r="A8" s="25" t="s">
        <v>81</v>
      </c>
      <c r="B8" s="7">
        <f>B4-B5</f>
        <v>4500000</v>
      </c>
    </row>
    <row r="9">
      <c r="A9" s="25" t="s">
        <v>82</v>
      </c>
      <c r="B9" s="6">
        <f>IFERROR(B4/B3,"")</f>
        <v>1</v>
      </c>
    </row>
    <row r="10">
      <c r="A10" s="25" t="s">
        <v>83</v>
      </c>
      <c r="B10" s="27" t="str">
        <f>IFERROR(B4/B5:"","")</f>
        <v/>
      </c>
    </row>
    <row r="11">
      <c r="A11" s="25" t="s">
        <v>84</v>
      </c>
      <c r="B11" s="27" t="str">
        <f>IFERROR(B2/B10,"")</f>
        <v/>
      </c>
    </row>
    <row r="12">
      <c r="A12" s="25" t="s">
        <v>85</v>
      </c>
      <c r="B12" s="27">
        <f>IFERROR(B11-B5,"")</f>
        <v>-6300000</v>
      </c>
    </row>
    <row r="13">
      <c r="A13" s="25" t="s">
        <v>86</v>
      </c>
      <c r="B13" s="27">
        <f>IFERROR(B2-B11,"")</f>
        <v>10800000</v>
      </c>
    </row>
  </sheetData>
  <drawing r:id="rId1"/>
</worksheet>
</file>