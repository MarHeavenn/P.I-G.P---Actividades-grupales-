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G:\Mi unidad\Univalle\OctavoSemestre\Gestion\"/>
    </mc:Choice>
  </mc:AlternateContent>
  <xr:revisionPtr revIDLastSave="0" documentId="13_ncr:1_{3E438B2A-BED3-43B7-BEB0-1BA802882C3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WBS" sheetId="1" r:id="rId1"/>
    <sheet name="Costos" sheetId="2" r:id="rId2"/>
    <sheet name="Métricas" sheetId="3" r:id="rId3"/>
    <sheet name="Gráficos" sheetId="4" r:id="rId4"/>
    <sheet name="WBS (solución)" sheetId="5" r:id="rId5"/>
    <sheet name="Interpretacion" sheetId="6" r:id="rId6"/>
  </sheets>
  <calcPr calcId="191029"/>
</workbook>
</file>

<file path=xl/calcChain.xml><?xml version="1.0" encoding="utf-8"?>
<calcChain xmlns="http://schemas.openxmlformats.org/spreadsheetml/2006/main">
  <c r="G29" i="5" l="1"/>
  <c r="F29" i="5"/>
  <c r="E29" i="5"/>
  <c r="H29" i="5" s="1"/>
  <c r="D29" i="5"/>
  <c r="C2" i="3" l="1"/>
  <c r="C44" i="4" s="1"/>
  <c r="Q2" i="1"/>
  <c r="D17" i="5" s="1"/>
  <c r="S14" i="1"/>
  <c r="Y14" i="1" s="1"/>
  <c r="R14" i="1"/>
  <c r="T14" i="1" s="1"/>
  <c r="Q14" i="1"/>
  <c r="S40" i="1"/>
  <c r="F55" i="5" s="1"/>
  <c r="R40" i="1"/>
  <c r="U40" i="1" s="1"/>
  <c r="Q40" i="1"/>
  <c r="D55" i="5" s="1"/>
  <c r="S39" i="1"/>
  <c r="F54" i="5" s="1"/>
  <c r="R39" i="1"/>
  <c r="E54" i="5" s="1"/>
  <c r="Q39" i="1"/>
  <c r="T39" i="1" s="1"/>
  <c r="S38" i="1"/>
  <c r="F53" i="5" s="1"/>
  <c r="R38" i="1"/>
  <c r="U38" i="1" s="1"/>
  <c r="Q38" i="1"/>
  <c r="D53" i="5" s="1"/>
  <c r="S37" i="1"/>
  <c r="F52" i="5" s="1"/>
  <c r="R37" i="1"/>
  <c r="E52" i="5" s="1"/>
  <c r="Q37" i="1"/>
  <c r="D52" i="5" s="1"/>
  <c r="S36" i="1"/>
  <c r="F51" i="5" s="1"/>
  <c r="R36" i="1"/>
  <c r="Q36" i="1"/>
  <c r="D51" i="5" s="1"/>
  <c r="S35" i="1"/>
  <c r="R35" i="1"/>
  <c r="E50" i="5" s="1"/>
  <c r="Q35" i="1"/>
  <c r="S34" i="1"/>
  <c r="F49" i="5" s="1"/>
  <c r="R34" i="1"/>
  <c r="U34" i="1" s="1"/>
  <c r="Q34" i="1"/>
  <c r="D49" i="5" s="1"/>
  <c r="S33" i="1"/>
  <c r="F48" i="5" s="1"/>
  <c r="R33" i="1"/>
  <c r="E48" i="5" s="1"/>
  <c r="Q33" i="1"/>
  <c r="D48" i="5" s="1"/>
  <c r="S32" i="1"/>
  <c r="F47" i="5" s="1"/>
  <c r="R32" i="1"/>
  <c r="Q32" i="1"/>
  <c r="D47" i="5" s="1"/>
  <c r="S31" i="1"/>
  <c r="R31" i="1"/>
  <c r="E46" i="5" s="1"/>
  <c r="Q31" i="1"/>
  <c r="D46" i="5" s="1"/>
  <c r="S30" i="1"/>
  <c r="F45" i="5" s="1"/>
  <c r="R30" i="1"/>
  <c r="Q30" i="1"/>
  <c r="D45" i="5" s="1"/>
  <c r="S29" i="1"/>
  <c r="R29" i="1"/>
  <c r="E44" i="5" s="1"/>
  <c r="Q29" i="1"/>
  <c r="T29" i="1" s="1"/>
  <c r="S28" i="1"/>
  <c r="F43" i="5" s="1"/>
  <c r="R28" i="1"/>
  <c r="Q28" i="1"/>
  <c r="D43" i="5" s="1"/>
  <c r="S27" i="1"/>
  <c r="F42" i="5" s="1"/>
  <c r="R27" i="1"/>
  <c r="E42" i="5" s="1"/>
  <c r="Q27" i="1"/>
  <c r="D42" i="5" s="1"/>
  <c r="S26" i="1"/>
  <c r="F41" i="5" s="1"/>
  <c r="R26" i="1"/>
  <c r="Q26" i="1"/>
  <c r="D41" i="5" s="1"/>
  <c r="S25" i="1"/>
  <c r="R25" i="1"/>
  <c r="E40" i="5" s="1"/>
  <c r="Q25" i="1"/>
  <c r="S24" i="1"/>
  <c r="F39" i="5" s="1"/>
  <c r="R24" i="1"/>
  <c r="Q24" i="1"/>
  <c r="D39" i="5" s="1"/>
  <c r="S23" i="1"/>
  <c r="F38" i="5" s="1"/>
  <c r="R23" i="1"/>
  <c r="E38" i="5" s="1"/>
  <c r="Q23" i="1"/>
  <c r="S22" i="1"/>
  <c r="F37" i="5" s="1"/>
  <c r="R22" i="1"/>
  <c r="U22" i="1" s="1"/>
  <c r="Q22" i="1"/>
  <c r="D37" i="5" s="1"/>
  <c r="S21" i="1"/>
  <c r="F36" i="5" s="1"/>
  <c r="R21" i="1"/>
  <c r="E36" i="5" s="1"/>
  <c r="Q21" i="1"/>
  <c r="D36" i="5" s="1"/>
  <c r="S20" i="1"/>
  <c r="F35" i="5" s="1"/>
  <c r="R20" i="1"/>
  <c r="Q20" i="1"/>
  <c r="D35" i="5" s="1"/>
  <c r="S19" i="1"/>
  <c r="R19" i="1"/>
  <c r="E34" i="5" s="1"/>
  <c r="Q19" i="1"/>
  <c r="S18" i="1"/>
  <c r="F33" i="5" s="1"/>
  <c r="R18" i="1"/>
  <c r="U18" i="1" s="1"/>
  <c r="Q18" i="1"/>
  <c r="D33" i="5" s="1"/>
  <c r="S17" i="1"/>
  <c r="F32" i="5" s="1"/>
  <c r="R17" i="1"/>
  <c r="E32" i="5" s="1"/>
  <c r="Q17" i="1"/>
  <c r="D32" i="5" s="1"/>
  <c r="S16" i="1"/>
  <c r="F31" i="5" s="1"/>
  <c r="R16" i="1"/>
  <c r="Q16" i="1"/>
  <c r="D31" i="5" s="1"/>
  <c r="S15" i="1"/>
  <c r="F30" i="5" s="1"/>
  <c r="R15" i="1"/>
  <c r="E30" i="5" s="1"/>
  <c r="Q15" i="1"/>
  <c r="D30" i="5" s="1"/>
  <c r="S13" i="1"/>
  <c r="F28" i="5" s="1"/>
  <c r="R13" i="1"/>
  <c r="T13" i="1" s="1"/>
  <c r="Q13" i="1"/>
  <c r="D28" i="5" s="1"/>
  <c r="S12" i="1"/>
  <c r="F27" i="5" s="1"/>
  <c r="R12" i="1"/>
  <c r="Q12" i="1"/>
  <c r="D27" i="5" s="1"/>
  <c r="S7" i="1"/>
  <c r="R7" i="1"/>
  <c r="E26" i="5" s="1"/>
  <c r="Q7" i="1"/>
  <c r="S6" i="1"/>
  <c r="R6" i="1"/>
  <c r="Q6" i="1"/>
  <c r="S3" i="1"/>
  <c r="F24" i="5" s="1"/>
  <c r="R3" i="1"/>
  <c r="Q3" i="1"/>
  <c r="S9" i="1"/>
  <c r="R9" i="1"/>
  <c r="Q9" i="1"/>
  <c r="S11" i="1"/>
  <c r="R11" i="1"/>
  <c r="Q11" i="1"/>
  <c r="S10" i="1"/>
  <c r="F21" i="5" s="1"/>
  <c r="R10" i="1"/>
  <c r="Q10" i="1"/>
  <c r="S8" i="1"/>
  <c r="F20" i="5" s="1"/>
  <c r="R8" i="1"/>
  <c r="E20" i="5" s="1"/>
  <c r="Q8" i="1"/>
  <c r="S5" i="1"/>
  <c r="F19" i="5" s="1"/>
  <c r="R5" i="1"/>
  <c r="Q5" i="1"/>
  <c r="S4" i="1"/>
  <c r="F18" i="5" s="1"/>
  <c r="R4" i="1"/>
  <c r="Q4" i="1"/>
  <c r="S2" i="1"/>
  <c r="F17" i="5" s="1"/>
  <c r="R2" i="1"/>
  <c r="X2" i="1" s="1"/>
  <c r="D24" i="5" l="1"/>
  <c r="D22" i="5"/>
  <c r="D21" i="5"/>
  <c r="D18" i="5"/>
  <c r="U14" i="1"/>
  <c r="X14" i="1"/>
  <c r="D25" i="5"/>
  <c r="F25" i="5"/>
  <c r="F26" i="5"/>
  <c r="U4" i="1"/>
  <c r="U6" i="1"/>
  <c r="D19" i="5"/>
  <c r="T3" i="1"/>
  <c r="D20" i="5"/>
  <c r="G20" i="5" s="1"/>
  <c r="D26" i="5"/>
  <c r="G26" i="5" s="1"/>
  <c r="E22" i="5"/>
  <c r="G22" i="5" s="1"/>
  <c r="F22" i="5"/>
  <c r="D23" i="5"/>
  <c r="F23" i="5"/>
  <c r="U31" i="1"/>
  <c r="U29" i="1"/>
  <c r="U16" i="1"/>
  <c r="U32" i="1"/>
  <c r="U10" i="1"/>
  <c r="U2" i="1"/>
  <c r="U12" i="1"/>
  <c r="T23" i="1"/>
  <c r="U28" i="1"/>
  <c r="W2" i="1"/>
  <c r="U39" i="1"/>
  <c r="U9" i="1"/>
  <c r="T19" i="1"/>
  <c r="U24" i="1"/>
  <c r="T35" i="1"/>
  <c r="U19" i="1"/>
  <c r="T25" i="1"/>
  <c r="U30" i="1"/>
  <c r="U35" i="1"/>
  <c r="U5" i="1"/>
  <c r="U20" i="1"/>
  <c r="U25" i="1"/>
  <c r="U36" i="1"/>
  <c r="C5" i="3"/>
  <c r="B8" i="5" s="1"/>
  <c r="C26" i="4"/>
  <c r="U26" i="1"/>
  <c r="E45" i="5"/>
  <c r="H45" i="5" s="1"/>
  <c r="H20" i="5"/>
  <c r="G36" i="5"/>
  <c r="H36" i="5"/>
  <c r="G52" i="5"/>
  <c r="H52" i="5"/>
  <c r="H26" i="5"/>
  <c r="H42" i="5"/>
  <c r="G42" i="5"/>
  <c r="H54" i="5"/>
  <c r="H38" i="5"/>
  <c r="H32" i="5"/>
  <c r="G32" i="5"/>
  <c r="H48" i="5"/>
  <c r="G48" i="5"/>
  <c r="H34" i="5"/>
  <c r="H30" i="5"/>
  <c r="G30" i="5"/>
  <c r="G46" i="5"/>
  <c r="C13" i="4"/>
  <c r="C29" i="4"/>
  <c r="C45" i="4"/>
  <c r="E27" i="5"/>
  <c r="D40" i="5"/>
  <c r="G40" i="5" s="1"/>
  <c r="E43" i="5"/>
  <c r="F46" i="5"/>
  <c r="H46" i="5" s="1"/>
  <c r="C14" i="4"/>
  <c r="C46" i="4"/>
  <c r="E24" i="5"/>
  <c r="C30" i="4"/>
  <c r="Y2" i="1"/>
  <c r="C15" i="4"/>
  <c r="C31" i="4"/>
  <c r="C47" i="4"/>
  <c r="E21" i="5"/>
  <c r="D34" i="5"/>
  <c r="G34" i="5" s="1"/>
  <c r="E37" i="5"/>
  <c r="F40" i="5"/>
  <c r="H40" i="5" s="1"/>
  <c r="D50" i="5"/>
  <c r="G50" i="5" s="1"/>
  <c r="E53" i="5"/>
  <c r="C16" i="4"/>
  <c r="C32" i="4"/>
  <c r="C48" i="4"/>
  <c r="E18" i="5"/>
  <c r="C3" i="3"/>
  <c r="C17" i="4"/>
  <c r="C33" i="4"/>
  <c r="C49" i="4"/>
  <c r="E31" i="5"/>
  <c r="F34" i="5"/>
  <c r="D44" i="5"/>
  <c r="G44" i="5" s="1"/>
  <c r="E47" i="5"/>
  <c r="F50" i="5"/>
  <c r="H50" i="5" s="1"/>
  <c r="C4" i="3"/>
  <c r="C18" i="4"/>
  <c r="C34" i="4"/>
  <c r="B5" i="5"/>
  <c r="E28" i="5"/>
  <c r="C19" i="4"/>
  <c r="C35" i="4"/>
  <c r="E25" i="5"/>
  <c r="D38" i="5"/>
  <c r="G38" i="5" s="1"/>
  <c r="E41" i="5"/>
  <c r="F44" i="5"/>
  <c r="H44" i="5" s="1"/>
  <c r="D54" i="5"/>
  <c r="G54" i="5" s="1"/>
  <c r="T4" i="1"/>
  <c r="T11" i="1"/>
  <c r="T7" i="1"/>
  <c r="T15" i="1"/>
  <c r="T21" i="1"/>
  <c r="T27" i="1"/>
  <c r="T31" i="1"/>
  <c r="T33" i="1"/>
  <c r="T37" i="1"/>
  <c r="U8" i="1"/>
  <c r="U11" i="1"/>
  <c r="U3" i="1"/>
  <c r="U7" i="1"/>
  <c r="U13" i="1"/>
  <c r="U15" i="1"/>
  <c r="U17" i="1"/>
  <c r="U21" i="1"/>
  <c r="U23" i="1"/>
  <c r="U27" i="1"/>
  <c r="U33" i="1"/>
  <c r="C36" i="4"/>
  <c r="T8" i="1"/>
  <c r="T17" i="1"/>
  <c r="U37" i="1"/>
  <c r="C37" i="4"/>
  <c r="E19" i="5"/>
  <c r="E35" i="5"/>
  <c r="E51" i="5"/>
  <c r="C20" i="4"/>
  <c r="C21" i="4"/>
  <c r="C22" i="4"/>
  <c r="C38" i="4"/>
  <c r="C23" i="4"/>
  <c r="C39" i="4"/>
  <c r="C24" i="4"/>
  <c r="C40" i="4"/>
  <c r="C25" i="4"/>
  <c r="C41" i="4"/>
  <c r="E23" i="5"/>
  <c r="E39" i="5"/>
  <c r="G45" i="5"/>
  <c r="E55" i="5"/>
  <c r="C42" i="4"/>
  <c r="T2" i="1"/>
  <c r="T5" i="1"/>
  <c r="T10" i="1"/>
  <c r="T9" i="1"/>
  <c r="T6" i="1"/>
  <c r="T12" i="1"/>
  <c r="T16" i="1"/>
  <c r="T18" i="1"/>
  <c r="T20" i="1"/>
  <c r="T22" i="1"/>
  <c r="T24" i="1"/>
  <c r="T26" i="1"/>
  <c r="T28" i="1"/>
  <c r="T30" i="1"/>
  <c r="T32" i="1"/>
  <c r="T34" i="1"/>
  <c r="T36" i="1"/>
  <c r="T38" i="1"/>
  <c r="T40" i="1"/>
  <c r="C11" i="4"/>
  <c r="C27" i="4"/>
  <c r="C43" i="4"/>
  <c r="E17" i="5"/>
  <c r="E33" i="5"/>
  <c r="E49" i="5"/>
  <c r="C10" i="4"/>
  <c r="C12" i="4"/>
  <c r="C28" i="4"/>
  <c r="H22" i="5" l="1"/>
  <c r="C9" i="3"/>
  <c r="C11" i="3" s="1"/>
  <c r="H37" i="5"/>
  <c r="G37" i="5"/>
  <c r="H31" i="5"/>
  <c r="G31" i="5"/>
  <c r="H39" i="5"/>
  <c r="G39" i="5"/>
  <c r="H51" i="5"/>
  <c r="G51" i="5"/>
  <c r="H41" i="5"/>
  <c r="G41" i="5"/>
  <c r="H25" i="5"/>
  <c r="G25" i="5"/>
  <c r="C8" i="3"/>
  <c r="B6" i="5"/>
  <c r="H24" i="5"/>
  <c r="G24" i="5"/>
  <c r="H18" i="5"/>
  <c r="G18" i="5"/>
  <c r="H28" i="5"/>
  <c r="G28" i="5"/>
  <c r="H43" i="5"/>
  <c r="G43" i="5"/>
  <c r="H19" i="5"/>
  <c r="G19" i="5"/>
  <c r="H23" i="5"/>
  <c r="G23" i="5"/>
  <c r="H53" i="5"/>
  <c r="G53" i="5"/>
  <c r="H55" i="5"/>
  <c r="G55" i="5"/>
  <c r="H35" i="5"/>
  <c r="G35" i="5"/>
  <c r="H33" i="5"/>
  <c r="G33" i="5"/>
  <c r="H27" i="5"/>
  <c r="G27" i="5"/>
  <c r="H47" i="5"/>
  <c r="G47" i="5"/>
  <c r="H49" i="5"/>
  <c r="G49" i="5"/>
  <c r="C7" i="3"/>
  <c r="B9" i="5" s="1"/>
  <c r="C6" i="3"/>
  <c r="B7" i="5"/>
  <c r="H21" i="5"/>
  <c r="G21" i="5"/>
  <c r="H17" i="5"/>
  <c r="G17" i="5"/>
  <c r="B11" i="5" l="1"/>
  <c r="C10" i="3"/>
  <c r="B12" i="5" s="1"/>
  <c r="B10" i="5"/>
  <c r="Y3" i="1" l="1"/>
  <c r="Y4" i="1"/>
  <c r="Y5" i="1"/>
  <c r="Y6" i="1"/>
  <c r="Y7" i="1"/>
  <c r="Y8" i="1"/>
  <c r="Y9" i="1"/>
  <c r="Y10" i="1"/>
  <c r="W3" i="1"/>
  <c r="W4" i="1" s="1"/>
  <c r="W5" i="1" s="1"/>
  <c r="W6" i="1" s="1"/>
  <c r="W7" i="1" s="1"/>
  <c r="W8" i="1" s="1"/>
  <c r="W9" i="1" s="1"/>
  <c r="W10" i="1" s="1"/>
  <c r="W11" i="1" s="1"/>
  <c r="W12" i="1" s="1"/>
  <c r="W13" i="1" s="1"/>
  <c r="X3" i="1"/>
  <c r="X4" i="1"/>
  <c r="X5" i="1"/>
  <c r="X6" i="1"/>
  <c r="X7" i="1"/>
  <c r="X8" i="1"/>
  <c r="X9" i="1"/>
  <c r="X10" i="1"/>
  <c r="X11" i="1"/>
  <c r="Y11" i="1"/>
  <c r="Y12" i="1"/>
  <c r="Y13" i="1"/>
  <c r="Y15" i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X12" i="1"/>
  <c r="X13" i="1"/>
  <c r="X15" i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W14" i="1" l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</calcChain>
</file>

<file path=xl/sharedStrings.xml><?xml version="1.0" encoding="utf-8"?>
<sst xmlns="http://schemas.openxmlformats.org/spreadsheetml/2006/main" count="290" uniqueCount="130">
  <si>
    <t>ID</t>
  </si>
  <si>
    <t>Entregable / Historia</t>
  </si>
  <si>
    <t>Tipo (feature/bug/tech)</t>
  </si>
  <si>
    <t>Responsable</t>
  </si>
  <si>
    <t>Inicio plan</t>
  </si>
  <si>
    <t>Fin plan</t>
  </si>
  <si>
    <t>BAC (presupuesto $)</t>
  </si>
  <si>
    <t>Costo hora ($)</t>
  </si>
  <si>
    <t>Horas plan</t>
  </si>
  <si>
    <t>Horas reales</t>
  </si>
  <si>
    <t>Otros costos reales ($)</t>
  </si>
  <si>
    <t>Regla de ganancia (EV)</t>
  </si>
  <si>
    <t>Estado (NI/EP/H)</t>
  </si>
  <si>
    <t>% completado (0-100)</t>
  </si>
  <si>
    <t>DoD: ítems totales</t>
  </si>
  <si>
    <t>DoD: ítems ok</t>
  </si>
  <si>
    <t>PV al corte ($)</t>
  </si>
  <si>
    <t>EV ($)</t>
  </si>
  <si>
    <t>AC ($)</t>
  </si>
  <si>
    <t>SV ($)</t>
  </si>
  <si>
    <t>CV ($)</t>
  </si>
  <si>
    <t>Notas</t>
  </si>
  <si>
    <t>PV acumulado</t>
  </si>
  <si>
    <t>EV acumulado</t>
  </si>
  <si>
    <t>AC acumulado</t>
  </si>
  <si>
    <t>feature</t>
  </si>
  <si>
    <t>50/50</t>
  </si>
  <si>
    <t>H</t>
  </si>
  <si>
    <t>Por checklist</t>
  </si>
  <si>
    <t>EP</t>
  </si>
  <si>
    <t>20/80</t>
  </si>
  <si>
    <t>0/100</t>
  </si>
  <si>
    <t>bug</t>
  </si>
  <si>
    <t>tech</t>
  </si>
  <si>
    <t>NI</t>
  </si>
  <si>
    <t>Parámetro</t>
  </si>
  <si>
    <t>Valor</t>
  </si>
  <si>
    <t>Fecha de corte (reporte)</t>
  </si>
  <si>
    <t>Observaciones</t>
  </si>
  <si>
    <t>Ajusta la fecha de corte para que PV se calcule con base en Fin plan.</t>
  </si>
  <si>
    <t>Indicador</t>
  </si>
  <si>
    <t>Descripción</t>
  </si>
  <si>
    <t>BAC total ($)</t>
  </si>
  <si>
    <t>Suma presupuestada de todos los entregables (Budget At Completion).</t>
  </si>
  <si>
    <t>PV total al corte ($)</t>
  </si>
  <si>
    <t>Valor planeado acumulado hasta la fecha de corte (sumatoria de BAC de tareas con Fin plan &lt;= corte).</t>
  </si>
  <si>
    <t>EV total ($)</t>
  </si>
  <si>
    <t>Valor ganado a la fecha de corte según reglas de ganancia y DoD.</t>
  </si>
  <si>
    <t>AC total ($)</t>
  </si>
  <si>
    <t>Costo real incurrido a la fecha de corte (horas reales * costo + otros).</t>
  </si>
  <si>
    <t>SV ($) = EV - PV</t>
  </si>
  <si>
    <t>Varianza de cronograma; &gt;0 adelanto, &lt;0 atraso.</t>
  </si>
  <si>
    <t>CV ($) = EV - AC</t>
  </si>
  <si>
    <t>Varianza de costos; &gt;0 ahorro, &lt;0 sobrecosto.</t>
  </si>
  <si>
    <t>SPI = EV / PV</t>
  </si>
  <si>
    <t>Índice de desempeño de cronograma; 1.0 es on-track.</t>
  </si>
  <si>
    <t>CPI = EV / AC</t>
  </si>
  <si>
    <t>Índice de desempeño de costos; 1.0 es on-budget.</t>
  </si>
  <si>
    <t>EAC = BAC / CPI</t>
  </si>
  <si>
    <t>Estimado al completar; proyección de costo final.</t>
  </si>
  <si>
    <t>ETC = EAC - AC</t>
  </si>
  <si>
    <t>Costo por incurrir restante.</t>
  </si>
  <si>
    <t>Notas rápidas</t>
  </si>
  <si>
    <t>• Actualiza 'Fecha de corte' en Costos!B2.
• Llena WBS con: BAC, fechas, regla de ganancia, DoD, horas reales y otros costos.
• Estado: NI = No iniciado, EP = En progreso, H = Hecho.
• Regla 'Por checklist' usa DoD: ítems ok / ítems totales.
• Los indicadores se calculan automáticamente.</t>
  </si>
  <si>
    <t>Gráficos automáticos</t>
  </si>
  <si>
    <t>Rango de datos detectado: 2..40</t>
  </si>
  <si>
    <t>Curva S (PV/EV/AC acumulados)</t>
  </si>
  <si>
    <t>Burnup (EV acumulado vs PV acumulado + BAC)</t>
  </si>
  <si>
    <t>Alcance (BAC)</t>
  </si>
  <si>
    <t>Interpretación del sprint (EV, PV, AC, índices y acciones)</t>
  </si>
  <si>
    <t>Fecha de corte: 2025-11-04 00:00:00</t>
  </si>
  <si>
    <t>Resumen de indicadores (desde Métricas)</t>
  </si>
  <si>
    <t>Guía rápida</t>
  </si>
  <si>
    <t>SPI ~1 OK; &lt;1 atraso.</t>
  </si>
  <si>
    <t>CPI ~1 OK; &lt;1 sobrecosto.</t>
  </si>
  <si>
    <t>EAC alto sugiere revisar alcance/tiempos.</t>
  </si>
  <si>
    <t>SPI = EV/PV</t>
  </si>
  <si>
    <t>CPI = EV/AC</t>
  </si>
  <si>
    <t>EAC = BAC/CPI</t>
  </si>
  <si>
    <t>Ítems con atraso o sobrecosto</t>
  </si>
  <si>
    <t>Entregable</t>
  </si>
  <si>
    <t>PV</t>
  </si>
  <si>
    <t>EV</t>
  </si>
  <si>
    <t>AC</t>
  </si>
  <si>
    <t>SV (EV-PV)</t>
  </si>
  <si>
    <t>CV (EV-AC)</t>
  </si>
  <si>
    <t>Acción sugerida</t>
  </si>
  <si>
    <t>Si SV&lt;0: dividir en sub-tareas o reasignar; Si CV&lt;0: limitar horas, revisar tarifa o scope.</t>
  </si>
  <si>
    <t>curva S (PV vs EV vs AC)</t>
  </si>
  <si>
    <r>
      <t>PV (azul):</t>
    </r>
    <r>
      <rPr>
        <sz val="11"/>
        <color rgb="FF000000"/>
        <rFont val="Calibri"/>
        <family val="2"/>
        <scheme val="minor"/>
      </rPr>
      <t> lo que </t>
    </r>
    <r>
      <rPr>
        <b/>
        <sz val="11"/>
        <color rgb="FF000000"/>
        <rFont val="Calibri"/>
        <family val="2"/>
        <scheme val="minor"/>
      </rPr>
      <t>deberíamos</t>
    </r>
    <r>
      <rPr>
        <sz val="11"/>
        <color rgb="FF000000"/>
        <rFont val="Calibri"/>
        <family val="2"/>
        <scheme val="minor"/>
      </rPr>
      <t> llevar según el </t>
    </r>
    <r>
      <rPr>
        <b/>
        <sz val="11"/>
        <color rgb="FF000000"/>
        <rFont val="Calibri"/>
        <family val="2"/>
        <scheme val="minor"/>
      </rPr>
      <t>plan</t>
    </r>
    <r>
      <rPr>
        <sz val="11"/>
        <color rgb="FF000000"/>
        <rFont val="Calibri"/>
        <family val="2"/>
        <scheme val="minor"/>
      </rPr>
      <t>.</t>
    </r>
  </si>
  <si>
    <r>
      <t>EV (rojo):</t>
    </r>
    <r>
      <rPr>
        <sz val="11"/>
        <color rgb="FF000000"/>
        <rFont val="Calibri"/>
        <family val="2"/>
        <scheme val="minor"/>
      </rPr>
      <t> lo que </t>
    </r>
    <r>
      <rPr>
        <b/>
        <sz val="11"/>
        <color rgb="FF000000"/>
        <rFont val="Calibri"/>
        <family val="2"/>
        <scheme val="minor"/>
      </rPr>
      <t>realmente logramos</t>
    </r>
    <r>
      <rPr>
        <sz val="11"/>
        <color rgb="FF000000"/>
        <rFont val="Calibri"/>
        <family val="2"/>
        <scheme val="minor"/>
      </rPr>
      <t> (valor ganado).</t>
    </r>
  </si>
  <si>
    <r>
      <t>AC (verde):</t>
    </r>
    <r>
      <rPr>
        <sz val="11"/>
        <color rgb="FF000000"/>
        <rFont val="Calibri"/>
        <family val="2"/>
        <scheme val="minor"/>
      </rPr>
      <t> lo que </t>
    </r>
    <r>
      <rPr>
        <b/>
        <sz val="11"/>
        <color rgb="FF000000"/>
        <rFont val="Calibri"/>
        <family val="2"/>
        <scheme val="minor"/>
      </rPr>
      <t>realmente gastamos</t>
    </r>
    <r>
      <rPr>
        <sz val="11"/>
        <color rgb="FF000000"/>
        <rFont val="Calibri"/>
        <family val="2"/>
        <scheme val="minor"/>
      </rPr>
      <t> (costo).</t>
    </r>
  </si>
  <si>
    <r>
      <t>EV vs PV:</t>
    </r>
    <r>
      <rPr>
        <sz val="11"/>
        <color rgb="FF000000"/>
        <rFont val="Calibri"/>
        <family val="2"/>
        <scheme val="minor"/>
      </rPr>
      <t> si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va </t>
    </r>
    <r>
      <rPr>
        <b/>
        <sz val="11"/>
        <color rgb="FF000000"/>
        <rFont val="Calibri"/>
        <family val="2"/>
        <scheme val="minor"/>
      </rPr>
      <t>debajo</t>
    </r>
    <r>
      <rPr>
        <sz val="11"/>
        <color rgb="FF000000"/>
        <rFont val="Calibri"/>
        <family val="2"/>
        <scheme val="minor"/>
      </rPr>
      <t> de </t>
    </r>
    <r>
      <rPr>
        <b/>
        <sz val="11"/>
        <color rgb="FF000000"/>
        <rFont val="Calibri"/>
        <family val="2"/>
        <scheme val="minor"/>
      </rPr>
      <t>PV</t>
    </r>
    <r>
      <rPr>
        <sz val="11"/>
        <color rgb="FF000000"/>
        <rFont val="Calibri"/>
        <family val="2"/>
        <scheme val="minor"/>
      </rPr>
      <t>, vamos </t>
    </r>
    <r>
      <rPr>
        <b/>
        <sz val="11"/>
        <color rgb="FF000000"/>
        <rFont val="Calibri"/>
        <family val="2"/>
        <scheme val="minor"/>
      </rPr>
      <t>atrasados</t>
    </r>
    <r>
      <rPr>
        <sz val="11"/>
        <color rgb="FF000000"/>
        <rFont val="Calibri"/>
        <family val="2"/>
        <scheme val="minor"/>
      </rPr>
      <t>; si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alcanza o supera </t>
    </r>
    <r>
      <rPr>
        <b/>
        <sz val="11"/>
        <color rgb="FF000000"/>
        <rFont val="Calibri"/>
        <family val="2"/>
        <scheme val="minor"/>
      </rPr>
      <t>PV</t>
    </r>
    <r>
      <rPr>
        <sz val="11"/>
        <color rgb="FF000000"/>
        <rFont val="Calibri"/>
        <family val="2"/>
        <scheme val="minor"/>
      </rPr>
      <t>, vamos </t>
    </r>
    <r>
      <rPr>
        <b/>
        <sz val="11"/>
        <color rgb="FF000000"/>
        <rFont val="Calibri"/>
        <family val="2"/>
        <scheme val="minor"/>
      </rPr>
      <t>al día o adelantados</t>
    </r>
    <r>
      <rPr>
        <sz val="11"/>
        <color rgb="FF000000"/>
        <rFont val="Calibri"/>
        <family val="2"/>
        <scheme val="minor"/>
      </rPr>
      <t>.</t>
    </r>
  </si>
  <si>
    <r>
      <t>EV vs AC:</t>
    </r>
    <r>
      <rPr>
        <sz val="11"/>
        <color rgb="FF000000"/>
        <rFont val="Calibri"/>
        <family val="2"/>
        <scheme val="minor"/>
      </rPr>
      <t> si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va </t>
    </r>
    <r>
      <rPr>
        <b/>
        <sz val="11"/>
        <color rgb="FF000000"/>
        <rFont val="Calibri"/>
        <family val="2"/>
        <scheme val="minor"/>
      </rPr>
      <t>debajo</t>
    </r>
    <r>
      <rPr>
        <sz val="11"/>
        <color rgb="FF000000"/>
        <rFont val="Calibri"/>
        <family val="2"/>
        <scheme val="minor"/>
      </rPr>
      <t> de </t>
    </r>
    <r>
      <rPr>
        <b/>
        <sz val="11"/>
        <color rgb="FF000000"/>
        <rFont val="Calibri"/>
        <family val="2"/>
        <scheme val="minor"/>
      </rPr>
      <t>AC</t>
    </r>
    <r>
      <rPr>
        <sz val="11"/>
        <color rgb="FF000000"/>
        <rFont val="Calibri"/>
        <family val="2"/>
        <scheme val="minor"/>
      </rPr>
      <t>, estamos </t>
    </r>
    <r>
      <rPr>
        <b/>
        <sz val="11"/>
        <color rgb="FF000000"/>
        <rFont val="Calibri"/>
        <family val="2"/>
        <scheme val="minor"/>
      </rPr>
      <t>gastando más de lo que estamos logrando</t>
    </r>
    <r>
      <rPr>
        <sz val="11"/>
        <color rgb="FF000000"/>
        <rFont val="Calibri"/>
        <family val="2"/>
        <scheme val="minor"/>
      </rPr>
      <t> (riesgo de sobrecosto).</t>
    </r>
  </si>
  <si>
    <r>
      <t>Pendientes:</t>
    </r>
    <r>
      <rPr>
        <sz val="11"/>
        <color rgb="FF000000"/>
        <rFont val="Calibri"/>
        <family val="2"/>
        <scheme val="minor"/>
      </rPr>
      <t> subidas grandes = cerramos varias tareas; tramos planos = nos frenamos.</t>
    </r>
  </si>
  <si>
    <t>burnup (EV vs PV + BAC)</t>
  </si>
  <si>
    <r>
      <t>EV (azul)</t>
    </r>
    <r>
      <rPr>
        <sz val="11"/>
        <color rgb="FF000000"/>
        <rFont val="Calibri"/>
        <family val="2"/>
        <scheme val="minor"/>
      </rPr>
      <t> subiendo con el trabajo real.</t>
    </r>
  </si>
  <si>
    <r>
      <t>PV (rojo)</t>
    </r>
    <r>
      <rPr>
        <sz val="11"/>
        <color rgb="FF000000"/>
        <rFont val="Calibri"/>
        <family val="2"/>
        <scheme val="minor"/>
      </rPr>
      <t> mostrando el ritmo </t>
    </r>
    <r>
      <rPr>
        <b/>
        <sz val="11"/>
        <color rgb="FF000000"/>
        <rFont val="Calibri"/>
        <family val="2"/>
        <scheme val="minor"/>
      </rPr>
      <t>planeado</t>
    </r>
    <r>
      <rPr>
        <sz val="11"/>
        <color rgb="FF000000"/>
        <rFont val="Calibri"/>
        <family val="2"/>
        <scheme val="minor"/>
      </rPr>
      <t>.</t>
    </r>
  </si>
  <si>
    <r>
      <t>BAC (verde, horizontal):</t>
    </r>
    <r>
      <rPr>
        <sz val="11"/>
        <color rgb="FF000000"/>
        <rFont val="Calibri"/>
        <family val="2"/>
        <scheme val="minor"/>
      </rPr>
      <t> el </t>
    </r>
    <r>
      <rPr>
        <b/>
        <sz val="11"/>
        <color rgb="FF000000"/>
        <rFont val="Calibri"/>
        <family val="2"/>
        <scheme val="minor"/>
      </rPr>
      <t>alcance total</t>
    </r>
    <r>
      <rPr>
        <sz val="11"/>
        <color rgb="FF000000"/>
        <rFont val="Calibri"/>
        <family val="2"/>
        <scheme val="minor"/>
      </rPr>
      <t> del sprint (meta final).</t>
    </r>
  </si>
  <si>
    <r>
      <t>EV vs PV:</t>
    </r>
    <r>
      <rPr>
        <sz val="11"/>
        <color rgb="FF000000"/>
        <rFont val="Calibri"/>
        <family val="2"/>
        <scheme val="minor"/>
      </rPr>
      <t> si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queda </t>
    </r>
    <r>
      <rPr>
        <b/>
        <sz val="11"/>
        <color rgb="FF000000"/>
        <rFont val="Calibri"/>
        <family val="2"/>
        <scheme val="minor"/>
      </rPr>
      <t>debajo</t>
    </r>
    <r>
      <rPr>
        <sz val="11"/>
        <color rgb="FF000000"/>
        <rFont val="Calibri"/>
        <family val="2"/>
        <scheme val="minor"/>
      </rPr>
      <t> de </t>
    </r>
    <r>
      <rPr>
        <b/>
        <sz val="11"/>
        <color rgb="FF000000"/>
        <rFont val="Calibri"/>
        <family val="2"/>
        <scheme val="minor"/>
      </rPr>
      <t>PV</t>
    </r>
    <r>
      <rPr>
        <sz val="11"/>
        <color rgb="FF000000"/>
        <rFont val="Calibri"/>
        <family val="2"/>
        <scheme val="minor"/>
      </rPr>
      <t>, vamos </t>
    </r>
    <r>
      <rPr>
        <b/>
        <sz val="11"/>
        <color rgb="FF000000"/>
        <rFont val="Calibri"/>
        <family val="2"/>
        <scheme val="minor"/>
      </rPr>
      <t>más lentos de lo planeado</t>
    </r>
    <r>
      <rPr>
        <sz val="11"/>
        <color rgb="FF000000"/>
        <rFont val="Calibri"/>
        <family val="2"/>
        <scheme val="minor"/>
      </rPr>
      <t>.</t>
    </r>
  </si>
  <si>
    <r>
      <t>EV vs BAC:</t>
    </r>
    <r>
      <rPr>
        <sz val="11"/>
        <color rgb="FF000000"/>
        <rFont val="Calibri"/>
        <family val="2"/>
        <scheme val="minor"/>
      </rPr>
      <t> cuando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llega a la línea </t>
    </r>
    <r>
      <rPr>
        <b/>
        <sz val="11"/>
        <color rgb="FF000000"/>
        <rFont val="Calibri"/>
        <family val="2"/>
        <scheme val="minor"/>
      </rPr>
      <t>BAC</t>
    </r>
    <r>
      <rPr>
        <sz val="11"/>
        <color rgb="FF000000"/>
        <rFont val="Calibri"/>
        <family val="2"/>
        <scheme val="minor"/>
      </rPr>
      <t>, </t>
    </r>
    <r>
      <rPr>
        <b/>
        <sz val="11"/>
        <color rgb="FF000000"/>
        <rFont val="Calibri"/>
        <family val="2"/>
        <scheme val="minor"/>
      </rPr>
      <t>se cumplió todo el alcance</t>
    </r>
    <r>
      <rPr>
        <sz val="11"/>
        <color rgb="FF000000"/>
        <rFont val="Calibri"/>
        <family val="2"/>
        <scheme val="minor"/>
      </rPr>
      <t>.</t>
    </r>
  </si>
  <si>
    <r>
      <t>Forma de la curva:</t>
    </r>
    <r>
      <rPr>
        <sz val="11"/>
        <color rgb="FF000000"/>
        <rFont val="Calibri"/>
        <family val="2"/>
        <scheme val="minor"/>
      </rPr>
      <t> subidas suaves y constantes = entregas frecuentes; “saltos” = se acumularon cierres.</t>
    </r>
  </si>
  <si>
    <r>
      <t>Atraso (EV &lt; PV):</t>
    </r>
    <r>
      <rPr>
        <sz val="11"/>
        <color rgb="FF000000"/>
        <rFont val="Calibri"/>
        <family val="2"/>
        <scheme val="minor"/>
      </rPr>
      <t> partir tareas grandes, cerrar más seguido, mover gente al camino crítico.</t>
    </r>
  </si>
  <si>
    <r>
      <t>Sobre costo (EV &lt; AC):</t>
    </r>
    <r>
      <rPr>
        <sz val="11"/>
        <color rgb="FF000000"/>
        <rFont val="Calibri"/>
        <family val="2"/>
        <scheme val="minor"/>
      </rPr>
      <t> limitar horas, bajar WIP, revisar estimaciones y DoD para que el gasto se convierta en “EV”.</t>
    </r>
  </si>
  <si>
    <r>
      <t>Para el próximo sprint:</t>
    </r>
    <r>
      <rPr>
        <sz val="11"/>
        <color rgb="FF000000"/>
        <rFont val="Calibri"/>
        <family val="2"/>
        <scheme val="minor"/>
      </rPr>
      <t> planear entregas </t>
    </r>
    <r>
      <rPr>
        <b/>
        <sz val="11"/>
        <color rgb="FF000000"/>
        <rFont val="Calibri"/>
        <family val="2"/>
        <scheme val="minor"/>
      </rPr>
      <t>pequeñas y frecuentes</t>
    </r>
    <r>
      <rPr>
        <sz val="11"/>
        <color rgb="FF000000"/>
        <rFont val="Calibri"/>
        <family val="2"/>
        <scheme val="minor"/>
      </rPr>
      <t> para que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suba parejo y se acerque a </t>
    </r>
    <r>
      <rPr>
        <b/>
        <sz val="11"/>
        <color rgb="FF000000"/>
        <rFont val="Calibri"/>
        <family val="2"/>
        <scheme val="minor"/>
      </rPr>
      <t>PV</t>
    </r>
    <r>
      <rPr>
        <sz val="11"/>
        <color rgb="FF000000"/>
        <rFont val="Calibri"/>
        <family val="2"/>
        <scheme val="minor"/>
      </rPr>
      <t>.</t>
    </r>
  </si>
  <si>
    <t>Intepretacion</t>
  </si>
  <si>
    <r>
      <t>Qué dice la gráfica:</t>
    </r>
    <r>
      <rPr>
        <sz val="11"/>
        <color rgb="FF000000"/>
        <rFont val="Calibri"/>
        <family val="2"/>
        <scheme val="minor"/>
      </rPr>
      <t> al final se ve </t>
    </r>
    <r>
      <rPr>
        <b/>
        <sz val="11"/>
        <color rgb="FF000000"/>
        <rFont val="Calibri"/>
        <family val="2"/>
        <scheme val="minor"/>
      </rPr>
      <t>PV &gt; AC &gt; EV</t>
    </r>
    <r>
      <rPr>
        <sz val="11"/>
        <color rgb="FF000000"/>
        <rFont val="Calibri"/>
        <family val="2"/>
        <scheme val="minor"/>
      </rPr>
      <t> ⇒ </t>
    </r>
    <r>
      <rPr>
        <b/>
        <sz val="11"/>
        <color rgb="FF000000"/>
        <rFont val="Calibri"/>
        <family val="2"/>
        <scheme val="minor"/>
      </rPr>
      <t>atraso</t>
    </r>
    <r>
      <rPr>
        <sz val="11"/>
        <color rgb="FF000000"/>
        <rFont val="Calibri"/>
        <family val="2"/>
        <scheme val="minor"/>
      </rPr>
      <t> (EV &lt; PV) y </t>
    </r>
    <r>
      <rPr>
        <b/>
        <sz val="11"/>
        <color rgb="FF000000"/>
        <rFont val="Calibri"/>
        <family val="2"/>
        <scheme val="minor"/>
      </rPr>
      <t>gasto algo alto</t>
    </r>
    <r>
      <rPr>
        <sz val="11"/>
        <color rgb="FF000000"/>
        <rFont val="Calibri"/>
        <family val="2"/>
        <scheme val="minor"/>
      </rPr>
      <t> para lo que hemos logrado (EV &lt; AC).</t>
    </r>
  </si>
  <si>
    <t>Interpretacion</t>
  </si>
  <si>
    <r>
      <t>Qué te dice gráfica del ejemplo:</t>
    </r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no alcanzó </t>
    </r>
    <r>
      <rPr>
        <b/>
        <sz val="11"/>
        <color rgb="FF000000"/>
        <rFont val="Calibri"/>
        <family val="2"/>
        <scheme val="minor"/>
      </rPr>
      <t>PV</t>
    </r>
    <r>
      <rPr>
        <sz val="11"/>
        <color rgb="FF000000"/>
        <rFont val="Calibri"/>
        <family val="2"/>
        <scheme val="minor"/>
      </rPr>
      <t> ni la línea </t>
    </r>
    <r>
      <rPr>
        <b/>
        <sz val="11"/>
        <color rgb="FF000000"/>
        <rFont val="Calibri"/>
        <family val="2"/>
        <scheme val="minor"/>
      </rPr>
      <t>BAC</t>
    </r>
    <r>
      <rPr>
        <sz val="11"/>
        <color rgb="FF000000"/>
        <rFont val="Calibri"/>
        <family val="2"/>
        <scheme val="minor"/>
      </rPr>
      <t> ⇒ </t>
    </r>
    <r>
      <rPr>
        <b/>
        <sz val="11"/>
        <color rgb="FF000000"/>
        <rFont val="Calibri"/>
        <family val="2"/>
        <scheme val="minor"/>
      </rPr>
      <t>no se completó</t>
    </r>
    <r>
      <rPr>
        <sz val="11"/>
        <color rgb="FF000000"/>
        <rFont val="Calibri"/>
        <family val="2"/>
        <scheme val="minor"/>
      </rPr>
      <t> el alcance del sprint al corte.</t>
    </r>
  </si>
  <si>
    <t>qué hacer</t>
  </si>
  <si>
    <t>Generacion y gestion de embeddings</t>
  </si>
  <si>
    <t>Juan Manuel</t>
  </si>
  <si>
    <t>Evaluar precisión y relevancia de las respuestas RAG</t>
  </si>
  <si>
    <t>Diseñar estructura de memoria contextual</t>
  </si>
  <si>
    <t>Endpoint para registro de conversaciones con emociones</t>
  </si>
  <si>
    <t>Definición de arquitectura lógica y técnica</t>
  </si>
  <si>
    <t>Diseño del pipeline de conversación</t>
  </si>
  <si>
    <t>Diseño del modelo de datos relacional y vectorial</t>
  </si>
  <si>
    <t>Configurar conexión con el modelo Gemini</t>
  </si>
  <si>
    <t>Configuración del entorno local con Docker</t>
  </si>
  <si>
    <t>Implementación de capa de acceso a datos (DAO / Repository)</t>
  </si>
  <si>
    <t>Implementar RAG básico con artículos psicológicos</t>
  </si>
  <si>
    <t>Consultar historial conversacional por usuario y fecha</t>
  </si>
  <si>
    <t>Crear endpoints REST para gestión de usuarios</t>
  </si>
  <si>
    <t>Alex</t>
  </si>
  <si>
    <t>Stiven</t>
  </si>
  <si>
    <t>Sebastian</t>
  </si>
  <si>
    <t>Victor</t>
  </si>
  <si>
    <t>Tina</t>
  </si>
  <si>
    <t>Generación y gestión de embeddings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</si>
</sst>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2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/>
    <xf numFmtId="164" fontId="0" fillId="0" borderId="1" xfId="0" applyNumberFormat="1" applyBorder="1" applyAlignment="1">
      <alignment wrapText="1"/>
    </xf>
    <xf numFmtId="165" fontId="0" fillId="0" borderId="0" xfId="0" applyNumberFormat="1"/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3" fillId="0" borderId="0" xfId="0" applyFont="1"/>
    <xf numFmtId="0" fontId="5" fillId="0" borderId="0" xfId="0" applyFont="1"/>
    <xf numFmtId="0" fontId="1" fillId="0" borderId="1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vertical="top" wrapText="1"/>
    </xf>
    <xf numFmtId="0" fontId="0" fillId="0" borderId="3" xfId="0" applyBorder="1" applyAlignment="1">
      <alignment wrapText="1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wrapText="1"/>
    </xf>
    <xf numFmtId="164" fontId="0" fillId="0" borderId="11" xfId="0" applyNumberFormat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27">
    <dxf>
      <alignment horizontal="general" vertical="top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numFmt numFmtId="164" formatCode="yyyy\-mm\-dd"/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numFmt numFmtId="164" formatCode="yyyy\-mm\-dd"/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border outline="0">
        <left style="thin">
          <color rgb="FF999999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Curva S — PV vs EV vs AC (acumulado)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WBS!$W$1</c:f>
              <c:strCache>
                <c:ptCount val="1"/>
                <c:pt idx="0">
                  <c:v>PV acumulado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WBS!$F$2:$F$14</c:f>
              <c:numCache>
                <c:formatCode>yyyy\-mm\-dd</c:formatCode>
                <c:ptCount val="13"/>
                <c:pt idx="0">
                  <c:v>45964</c:v>
                </c:pt>
                <c:pt idx="1">
                  <c:v>45966</c:v>
                </c:pt>
                <c:pt idx="2">
                  <c:v>45967</c:v>
                </c:pt>
                <c:pt idx="3">
                  <c:v>45965</c:v>
                </c:pt>
                <c:pt idx="4">
                  <c:v>45969</c:v>
                </c:pt>
                <c:pt idx="5">
                  <c:v>45960</c:v>
                </c:pt>
                <c:pt idx="6">
                  <c:v>45961</c:v>
                </c:pt>
                <c:pt idx="7">
                  <c:v>45964</c:v>
                </c:pt>
                <c:pt idx="8">
                  <c:v>45964</c:v>
                </c:pt>
                <c:pt idx="9">
                  <c:v>45962</c:v>
                </c:pt>
                <c:pt idx="10">
                  <c:v>45964</c:v>
                </c:pt>
                <c:pt idx="11">
                  <c:v>45964</c:v>
                </c:pt>
                <c:pt idx="12">
                  <c:v>45964</c:v>
                </c:pt>
              </c:numCache>
            </c:numRef>
          </c:cat>
          <c:val>
            <c:numRef>
              <c:f>WBS!$W$2:$W$14</c:f>
              <c:numCache>
                <c:formatCode>General</c:formatCode>
                <c:ptCount val="13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960</c:v>
                </c:pt>
                <c:pt idx="4">
                  <c:v>960</c:v>
                </c:pt>
                <c:pt idx="5">
                  <c:v>1296</c:v>
                </c:pt>
                <c:pt idx="6">
                  <c:v>1936</c:v>
                </c:pt>
                <c:pt idx="7">
                  <c:v>2096</c:v>
                </c:pt>
                <c:pt idx="8">
                  <c:v>2816</c:v>
                </c:pt>
                <c:pt idx="9">
                  <c:v>3626</c:v>
                </c:pt>
                <c:pt idx="10">
                  <c:v>4106</c:v>
                </c:pt>
                <c:pt idx="11">
                  <c:v>4346</c:v>
                </c:pt>
                <c:pt idx="12">
                  <c:v>4586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B-C14A-9475-BF4F75B658D7}"/>
            </c:ext>
          </c:extLst>
        </c:ser>
        <c:ser>
          <c:idx val="1"/>
          <c:order val="1"/>
          <c:tx>
            <c:strRef>
              <c:f>WBS!$X$1</c:f>
              <c:strCache>
                <c:ptCount val="1"/>
                <c:pt idx="0">
                  <c:v>EV acumulado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WBS!$F$2:$F$14</c:f>
              <c:numCache>
                <c:formatCode>yyyy\-mm\-dd</c:formatCode>
                <c:ptCount val="13"/>
                <c:pt idx="0">
                  <c:v>45964</c:v>
                </c:pt>
                <c:pt idx="1">
                  <c:v>45966</c:v>
                </c:pt>
                <c:pt idx="2">
                  <c:v>45967</c:v>
                </c:pt>
                <c:pt idx="3">
                  <c:v>45965</c:v>
                </c:pt>
                <c:pt idx="4">
                  <c:v>45969</c:v>
                </c:pt>
                <c:pt idx="5">
                  <c:v>45960</c:v>
                </c:pt>
                <c:pt idx="6">
                  <c:v>45961</c:v>
                </c:pt>
                <c:pt idx="7">
                  <c:v>45964</c:v>
                </c:pt>
                <c:pt idx="8">
                  <c:v>45964</c:v>
                </c:pt>
                <c:pt idx="9">
                  <c:v>45962</c:v>
                </c:pt>
                <c:pt idx="10">
                  <c:v>45964</c:v>
                </c:pt>
                <c:pt idx="11">
                  <c:v>45964</c:v>
                </c:pt>
                <c:pt idx="12">
                  <c:v>45964</c:v>
                </c:pt>
              </c:numCache>
            </c:numRef>
          </c:cat>
          <c:val>
            <c:numRef>
              <c:f>WBS!$X$2:$X$14</c:f>
              <c:numCache>
                <c:formatCode>General</c:formatCode>
                <c:ptCount val="13"/>
                <c:pt idx="0">
                  <c:v>400</c:v>
                </c:pt>
                <c:pt idx="1">
                  <c:v>820</c:v>
                </c:pt>
                <c:pt idx="2">
                  <c:v>1300</c:v>
                </c:pt>
                <c:pt idx="3">
                  <c:v>1860</c:v>
                </c:pt>
                <c:pt idx="4">
                  <c:v>2196</c:v>
                </c:pt>
                <c:pt idx="5">
                  <c:v>2532</c:v>
                </c:pt>
                <c:pt idx="6">
                  <c:v>3446.2857142857142</c:v>
                </c:pt>
                <c:pt idx="7">
                  <c:v>3606.2857142857142</c:v>
                </c:pt>
                <c:pt idx="8">
                  <c:v>3750.2857142857142</c:v>
                </c:pt>
                <c:pt idx="9">
                  <c:v>3750.2857142857142</c:v>
                </c:pt>
                <c:pt idx="10">
                  <c:v>3846.2857142857142</c:v>
                </c:pt>
                <c:pt idx="11">
                  <c:v>3846.2857142857142</c:v>
                </c:pt>
                <c:pt idx="12">
                  <c:v>3846.2857142857142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B-C14A-9475-BF4F75B658D7}"/>
            </c:ext>
          </c:extLst>
        </c:ser>
        <c:ser>
          <c:idx val="2"/>
          <c:order val="2"/>
          <c:tx>
            <c:strRef>
              <c:f>WBS!$Y$1</c:f>
              <c:strCache>
                <c:ptCount val="1"/>
                <c:pt idx="0">
                  <c:v>AC acumulado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WBS!$F$2:$F$14</c:f>
              <c:numCache>
                <c:formatCode>yyyy\-mm\-dd</c:formatCode>
                <c:ptCount val="13"/>
                <c:pt idx="0">
                  <c:v>45964</c:v>
                </c:pt>
                <c:pt idx="1">
                  <c:v>45966</c:v>
                </c:pt>
                <c:pt idx="2">
                  <c:v>45967</c:v>
                </c:pt>
                <c:pt idx="3">
                  <c:v>45965</c:v>
                </c:pt>
                <c:pt idx="4">
                  <c:v>45969</c:v>
                </c:pt>
                <c:pt idx="5">
                  <c:v>45960</c:v>
                </c:pt>
                <c:pt idx="6">
                  <c:v>45961</c:v>
                </c:pt>
                <c:pt idx="7">
                  <c:v>45964</c:v>
                </c:pt>
                <c:pt idx="8">
                  <c:v>45964</c:v>
                </c:pt>
                <c:pt idx="9">
                  <c:v>45962</c:v>
                </c:pt>
                <c:pt idx="10">
                  <c:v>45964</c:v>
                </c:pt>
                <c:pt idx="11">
                  <c:v>45964</c:v>
                </c:pt>
                <c:pt idx="12">
                  <c:v>45964</c:v>
                </c:pt>
              </c:numCache>
            </c:numRef>
          </c:cat>
          <c:val>
            <c:numRef>
              <c:f>WBS!$Y$2:$Y$14</c:f>
              <c:numCache>
                <c:formatCode>General</c:formatCode>
                <c:ptCount val="13"/>
                <c:pt idx="0">
                  <c:v>360</c:v>
                </c:pt>
                <c:pt idx="1">
                  <c:v>738</c:v>
                </c:pt>
                <c:pt idx="2">
                  <c:v>1218</c:v>
                </c:pt>
                <c:pt idx="3">
                  <c:v>1818</c:v>
                </c:pt>
                <c:pt idx="4">
                  <c:v>2112</c:v>
                </c:pt>
                <c:pt idx="5">
                  <c:v>2490</c:v>
                </c:pt>
                <c:pt idx="6">
                  <c:v>3020</c:v>
                </c:pt>
                <c:pt idx="7">
                  <c:v>3220</c:v>
                </c:pt>
                <c:pt idx="8">
                  <c:v>3580</c:v>
                </c:pt>
                <c:pt idx="9">
                  <c:v>4030</c:v>
                </c:pt>
                <c:pt idx="10">
                  <c:v>4270</c:v>
                </c:pt>
                <c:pt idx="11">
                  <c:v>4270</c:v>
                </c:pt>
                <c:pt idx="12">
                  <c:v>4270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9B-C14A-9475-BF4F75B65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(Fin plan)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 acumulado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Burnup — EV acumulado vs PV acumulado + Alcance (BAC)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WBS!$X$1</c:f>
              <c:strCache>
                <c:ptCount val="1"/>
                <c:pt idx="0">
                  <c:v>EV acumulado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WBS!$F$2:$F$14</c:f>
              <c:numCache>
                <c:formatCode>yyyy\-mm\-dd</c:formatCode>
                <c:ptCount val="13"/>
                <c:pt idx="0">
                  <c:v>45964</c:v>
                </c:pt>
                <c:pt idx="1">
                  <c:v>45966</c:v>
                </c:pt>
                <c:pt idx="2">
                  <c:v>45967</c:v>
                </c:pt>
                <c:pt idx="3">
                  <c:v>45965</c:v>
                </c:pt>
                <c:pt idx="4">
                  <c:v>45969</c:v>
                </c:pt>
                <c:pt idx="5">
                  <c:v>45960</c:v>
                </c:pt>
                <c:pt idx="6">
                  <c:v>45961</c:v>
                </c:pt>
                <c:pt idx="7">
                  <c:v>45964</c:v>
                </c:pt>
                <c:pt idx="8">
                  <c:v>45964</c:v>
                </c:pt>
                <c:pt idx="9">
                  <c:v>45962</c:v>
                </c:pt>
                <c:pt idx="10">
                  <c:v>45964</c:v>
                </c:pt>
                <c:pt idx="11">
                  <c:v>45964</c:v>
                </c:pt>
                <c:pt idx="12">
                  <c:v>45964</c:v>
                </c:pt>
              </c:numCache>
            </c:numRef>
          </c:cat>
          <c:val>
            <c:numRef>
              <c:f>WBS!$X$2:$X$14</c:f>
              <c:numCache>
                <c:formatCode>General</c:formatCode>
                <c:ptCount val="13"/>
                <c:pt idx="0">
                  <c:v>400</c:v>
                </c:pt>
                <c:pt idx="1">
                  <c:v>820</c:v>
                </c:pt>
                <c:pt idx="2">
                  <c:v>1300</c:v>
                </c:pt>
                <c:pt idx="3">
                  <c:v>1860</c:v>
                </c:pt>
                <c:pt idx="4">
                  <c:v>2196</c:v>
                </c:pt>
                <c:pt idx="5">
                  <c:v>2532</c:v>
                </c:pt>
                <c:pt idx="6">
                  <c:v>3446.2857142857142</c:v>
                </c:pt>
                <c:pt idx="7">
                  <c:v>3606.2857142857142</c:v>
                </c:pt>
                <c:pt idx="8">
                  <c:v>3750.2857142857142</c:v>
                </c:pt>
                <c:pt idx="9">
                  <c:v>3750.2857142857142</c:v>
                </c:pt>
                <c:pt idx="10">
                  <c:v>3846.2857142857142</c:v>
                </c:pt>
                <c:pt idx="11">
                  <c:v>3846.2857142857142</c:v>
                </c:pt>
                <c:pt idx="12">
                  <c:v>3846.2857142857142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A-354C-8353-CE63DD46263E}"/>
            </c:ext>
          </c:extLst>
        </c:ser>
        <c:ser>
          <c:idx val="1"/>
          <c:order val="1"/>
          <c:tx>
            <c:strRef>
              <c:f>WBS!$W$1</c:f>
              <c:strCache>
                <c:ptCount val="1"/>
                <c:pt idx="0">
                  <c:v>PV acumulado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WBS!$F$2:$F$14</c:f>
              <c:numCache>
                <c:formatCode>yyyy\-mm\-dd</c:formatCode>
                <c:ptCount val="13"/>
                <c:pt idx="0">
                  <c:v>45964</c:v>
                </c:pt>
                <c:pt idx="1">
                  <c:v>45966</c:v>
                </c:pt>
                <c:pt idx="2">
                  <c:v>45967</c:v>
                </c:pt>
                <c:pt idx="3">
                  <c:v>45965</c:v>
                </c:pt>
                <c:pt idx="4">
                  <c:v>45969</c:v>
                </c:pt>
                <c:pt idx="5">
                  <c:v>45960</c:v>
                </c:pt>
                <c:pt idx="6">
                  <c:v>45961</c:v>
                </c:pt>
                <c:pt idx="7">
                  <c:v>45964</c:v>
                </c:pt>
                <c:pt idx="8">
                  <c:v>45964</c:v>
                </c:pt>
                <c:pt idx="9">
                  <c:v>45962</c:v>
                </c:pt>
                <c:pt idx="10">
                  <c:v>45964</c:v>
                </c:pt>
                <c:pt idx="11">
                  <c:v>45964</c:v>
                </c:pt>
                <c:pt idx="12">
                  <c:v>45964</c:v>
                </c:pt>
              </c:numCache>
            </c:numRef>
          </c:cat>
          <c:val>
            <c:numRef>
              <c:f>WBS!$W$2:$W$14</c:f>
              <c:numCache>
                <c:formatCode>General</c:formatCode>
                <c:ptCount val="13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960</c:v>
                </c:pt>
                <c:pt idx="4">
                  <c:v>960</c:v>
                </c:pt>
                <c:pt idx="5">
                  <c:v>1296</c:v>
                </c:pt>
                <c:pt idx="6">
                  <c:v>1936</c:v>
                </c:pt>
                <c:pt idx="7">
                  <c:v>2096</c:v>
                </c:pt>
                <c:pt idx="8">
                  <c:v>2816</c:v>
                </c:pt>
                <c:pt idx="9">
                  <c:v>3626</c:v>
                </c:pt>
                <c:pt idx="10">
                  <c:v>4106</c:v>
                </c:pt>
                <c:pt idx="11">
                  <c:v>4346</c:v>
                </c:pt>
                <c:pt idx="12">
                  <c:v>4586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4A-354C-8353-CE63DD46263E}"/>
            </c:ext>
          </c:extLst>
        </c:ser>
        <c:ser>
          <c:idx val="2"/>
          <c:order val="2"/>
          <c:tx>
            <c:strRef>
              <c:f>Gráficos!$C$10</c:f>
              <c:strCache>
                <c:ptCount val="1"/>
                <c:pt idx="0">
                  <c:v>5822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WBS!$F$2:$F$14</c:f>
              <c:numCache>
                <c:formatCode>yyyy\-mm\-dd</c:formatCode>
                <c:ptCount val="13"/>
                <c:pt idx="0">
                  <c:v>45964</c:v>
                </c:pt>
                <c:pt idx="1">
                  <c:v>45966</c:v>
                </c:pt>
                <c:pt idx="2">
                  <c:v>45967</c:v>
                </c:pt>
                <c:pt idx="3">
                  <c:v>45965</c:v>
                </c:pt>
                <c:pt idx="4">
                  <c:v>45969</c:v>
                </c:pt>
                <c:pt idx="5">
                  <c:v>45960</c:v>
                </c:pt>
                <c:pt idx="6">
                  <c:v>45961</c:v>
                </c:pt>
                <c:pt idx="7">
                  <c:v>45964</c:v>
                </c:pt>
                <c:pt idx="8">
                  <c:v>45964</c:v>
                </c:pt>
                <c:pt idx="9">
                  <c:v>45962</c:v>
                </c:pt>
                <c:pt idx="10">
                  <c:v>45964</c:v>
                </c:pt>
                <c:pt idx="11">
                  <c:v>45964</c:v>
                </c:pt>
                <c:pt idx="12">
                  <c:v>45964</c:v>
                </c:pt>
              </c:numCache>
            </c:numRef>
          </c:cat>
          <c:val>
            <c:numRef>
              <c:f>Gráficos!$C$11:$C$23</c:f>
              <c:numCache>
                <c:formatCode>General</c:formatCode>
                <c:ptCount val="13"/>
                <c:pt idx="0">
                  <c:v>5822</c:v>
                </c:pt>
                <c:pt idx="1">
                  <c:v>5822</c:v>
                </c:pt>
                <c:pt idx="2">
                  <c:v>5822</c:v>
                </c:pt>
                <c:pt idx="3">
                  <c:v>5822</c:v>
                </c:pt>
                <c:pt idx="4">
                  <c:v>5822</c:v>
                </c:pt>
                <c:pt idx="5">
                  <c:v>5822</c:v>
                </c:pt>
                <c:pt idx="6">
                  <c:v>5822</c:v>
                </c:pt>
                <c:pt idx="7">
                  <c:v>5822</c:v>
                </c:pt>
                <c:pt idx="8">
                  <c:v>5822</c:v>
                </c:pt>
                <c:pt idx="9">
                  <c:v>5822</c:v>
                </c:pt>
                <c:pt idx="10">
                  <c:v>5822</c:v>
                </c:pt>
                <c:pt idx="11">
                  <c:v>5822</c:v>
                </c:pt>
                <c:pt idx="12">
                  <c:v>5822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4A-354C-8353-CE63DD462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(Fin plan)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 acumulado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12700</xdr:rowOff>
    </xdr:from>
    <xdr:ext cx="7454900" cy="38303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12700</xdr:colOff>
      <xdr:row>26</xdr:row>
      <xdr:rowOff>88900</xdr:rowOff>
    </xdr:from>
    <xdr:ext cx="7454900" cy="6426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C058A-20B6-3E4A-A8A3-A87CF383C4FB}" name="Tabla1" displayName="Tabla1" ref="A1:Y14" totalsRowShown="0" headerRowDxfId="26" tableBorderDxfId="25">
  <autoFilter ref="A1:Y14" xr:uid="{038C058A-20B6-3E4A-A8A3-A87CF383C4FB}"/>
  <sortState xmlns:xlrd2="http://schemas.microsoft.com/office/spreadsheetml/2017/richdata2" ref="A2:Y13">
    <sortCondition ref="F1:F13"/>
  </sortState>
  <tableColumns count="25">
    <tableColumn id="1" xr3:uid="{56374B4F-2248-0E47-A198-81B92B0E0DB4}" name="ID" dataDxfId="2"/>
    <tableColumn id="2" xr3:uid="{A32B0D0D-2AF8-054D-B942-951E849B7D80}" name="Entregable / Historia" dataDxfId="0"/>
    <tableColumn id="3" xr3:uid="{89507CB4-F41B-EC4A-826C-68233FF93FAC}" name="Tipo (feature/bug/tech)" dataDxfId="1"/>
    <tableColumn id="4" xr3:uid="{45F4FE23-C130-C646-9C4D-66B403AC289E}" name="Responsable" dataDxfId="24"/>
    <tableColumn id="5" xr3:uid="{7B952A0C-F1AD-0144-ABF4-715B850EEB6E}" name="Inicio plan" dataDxfId="23"/>
    <tableColumn id="6" xr3:uid="{974E31B9-94A7-174E-AC18-BC8064D8BF4D}" name="Fin plan" dataDxfId="22"/>
    <tableColumn id="7" xr3:uid="{B383AAE7-2A3A-1743-9487-403347C48262}" name="BAC (presupuesto $)" dataDxfId="21"/>
    <tableColumn id="8" xr3:uid="{A96FC8E8-AC59-C045-9000-CBC61662787D}" name="Costo hora ($)" dataDxfId="20"/>
    <tableColumn id="9" xr3:uid="{3E543F53-F347-1F44-B577-BAC4BF86F76A}" name="Horas plan" dataDxfId="19"/>
    <tableColumn id="10" xr3:uid="{86098E07-CACD-A746-B2E4-80BEA585E367}" name="Horas reales" dataDxfId="18"/>
    <tableColumn id="11" xr3:uid="{B87A0A7C-0253-B345-8D74-646B003AF4E0}" name="Otros costos reales ($)" dataDxfId="17"/>
    <tableColumn id="12" xr3:uid="{572BEB93-FBCF-6442-B816-FF75720D4C4A}" name="Regla de ganancia (EV)" dataDxfId="16"/>
    <tableColumn id="13" xr3:uid="{00B4E3CF-2CC4-6D46-8177-74F248C26441}" name="Estado (NI/EP/H)" dataDxfId="15"/>
    <tableColumn id="14" xr3:uid="{D65FBA2F-AC9E-DC4D-9DC1-60FF2A03879A}" name="% completado (0-100)" dataDxfId="14"/>
    <tableColumn id="15" xr3:uid="{0DCBB84F-068A-6346-B102-86A15CF33401}" name="DoD: ítems totales" dataDxfId="13"/>
    <tableColumn id="16" xr3:uid="{7549D77D-7B78-4D49-8AAE-89CC7E522B8F}" name="DoD: ítems ok" dataDxfId="12"/>
    <tableColumn id="17" xr3:uid="{2807C6E7-F81D-3748-B77C-666C3D372CE1}" name="PV al corte ($)" dataDxfId="11">
      <calculatedColumnFormula>IF(F2&lt;=Costos!$B$2, G2, 0)</calculatedColumnFormula>
    </tableColumn>
    <tableColumn id="18" xr3:uid="{5FF30417-4993-D14D-BECA-043301FF5B18}" name="EV ($)" dataDxfId="10">
      <calculatedColumnFormula>IF(L2="0/100", IF(N2=100, G2, 0), IF(L2="50/50", IF(M2="H", G2, IF(M2="EP", G2*0.5, 0)), IF(L2="20/80", IF(M2="H", G2, IF(M2="EP", G2*0.2, 0)), IF(L2="Por checklist", IF(P2&gt;0, G2*(O2/P2), G2*(N2/100)), G2*(N2/100)))))</calculatedColumnFormula>
    </tableColumn>
    <tableColumn id="19" xr3:uid="{2AAF30BF-DC7B-574D-BB7C-FD9883041704}" name="AC ($)" dataDxfId="9">
      <calculatedColumnFormula>IFERROR(J2*H2,0)+IFERROR(K2,0)</calculatedColumnFormula>
    </tableColumn>
    <tableColumn id="20" xr3:uid="{9A6EE935-6C3A-824F-B4C5-F92AC2C3D8AF}" name="SV ($)" dataDxfId="8">
      <calculatedColumnFormula>R2-Q2</calculatedColumnFormula>
    </tableColumn>
    <tableColumn id="21" xr3:uid="{F5212985-337D-8748-B66D-0164A1B91478}" name="CV ($)" dataDxfId="7">
      <calculatedColumnFormula>R2-S2</calculatedColumnFormula>
    </tableColumn>
    <tableColumn id="22" xr3:uid="{5ACB75FD-7DDD-AC4A-9326-CD7A6AC19F3F}" name="Notas" dataDxfId="6"/>
    <tableColumn id="23" xr3:uid="{D66CC241-C5D5-1E44-AAB0-4FA3C36D21AE}" name="PV acumulado">
      <calculatedColumnFormula>IFERROR(W1+Q2, W1)</calculatedColumnFormula>
    </tableColumn>
    <tableColumn id="24" xr3:uid="{691948E4-E55B-7048-A2AB-36C39019C806}" name="EV acumulado">
      <calculatedColumnFormula>IFERROR(X1+R2, X1)</calculatedColumnFormula>
    </tableColumn>
    <tableColumn id="25" xr3:uid="{9EC1C8CA-40D5-0C45-B36C-052CE4D1FBAA}" name="AC acumulado">
      <calculatedColumnFormula>IFERROR(Y1+S2, Y1)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abSelected="1" workbookViewId="0">
      <pane ySplit="1" topLeftCell="A2" activePane="bottomLeft" state="frozen"/>
      <selection pane="bottomLeft" activeCell="G16" sqref="G16"/>
    </sheetView>
  </sheetViews>
  <sheetFormatPr baseColWidth="10" defaultColWidth="8.85546875" defaultRowHeight="15" x14ac:dyDescent="0.25"/>
  <cols>
    <col min="1" max="1" width="16" customWidth="1"/>
    <col min="2" max="2" width="57.140625" customWidth="1"/>
    <col min="3" max="3" width="21.85546875" customWidth="1"/>
    <col min="4" max="6" width="16" customWidth="1"/>
    <col min="7" max="7" width="19" customWidth="1"/>
    <col min="8" max="10" width="16" customWidth="1"/>
    <col min="11" max="11" width="20.140625" customWidth="1"/>
    <col min="12" max="12" width="20.28515625" customWidth="1"/>
    <col min="13" max="13" width="16.140625" customWidth="1"/>
    <col min="14" max="14" width="20.28515625" customWidth="1"/>
    <col min="15" max="15" width="17.7109375" customWidth="1"/>
    <col min="16" max="20" width="16" customWidth="1"/>
    <col min="21" max="21" width="34" customWidth="1"/>
    <col min="22" max="22" width="16" customWidth="1"/>
    <col min="23" max="23" width="14.42578125" customWidth="1"/>
    <col min="24" max="24" width="14.28515625" customWidth="1"/>
    <col min="25" max="25" width="14.42578125" customWidth="1"/>
  </cols>
  <sheetData>
    <row r="1" spans="1:25" ht="32.1" customHeight="1" x14ac:dyDescent="0.25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6" t="s">
        <v>23</v>
      </c>
      <c r="Y1" s="6" t="s">
        <v>24</v>
      </c>
    </row>
    <row r="2" spans="1:25" ht="15.95" customHeight="1" x14ac:dyDescent="0.25">
      <c r="A2" s="11">
        <v>1</v>
      </c>
      <c r="B2" s="26" t="s">
        <v>110</v>
      </c>
      <c r="C2" s="2" t="s">
        <v>25</v>
      </c>
      <c r="D2" s="2" t="s">
        <v>111</v>
      </c>
      <c r="E2" s="8">
        <v>45951</v>
      </c>
      <c r="F2" s="8">
        <v>45964</v>
      </c>
      <c r="G2" s="2">
        <v>400</v>
      </c>
      <c r="H2" s="2">
        <v>40</v>
      </c>
      <c r="I2" s="2">
        <v>10</v>
      </c>
      <c r="J2" s="2">
        <v>9</v>
      </c>
      <c r="K2" s="2">
        <v>0</v>
      </c>
      <c r="L2" s="2" t="s">
        <v>26</v>
      </c>
      <c r="M2" s="2" t="s">
        <v>27</v>
      </c>
      <c r="N2" s="2">
        <v>100</v>
      </c>
      <c r="O2" s="2">
        <v>0</v>
      </c>
      <c r="P2" s="2">
        <v>0</v>
      </c>
      <c r="Q2" s="2">
        <f>IF(F2&lt;=Costos!$B$2, G2, 0)</f>
        <v>400</v>
      </c>
      <c r="R2" s="2">
        <f t="shared" ref="R2:R13" si="0">IF(L2="0/100", IF(N2=100, G2, 0), IF(L2="50/50", IF(M2="H", G2, IF(M2="EP", G2*0.5, 0)), IF(L2="20/80", IF(M2="H", G2, IF(M2="EP", G2*0.2, 0)), IF(L2="Por checklist", IF(P2&gt;0, G2*(O2/P2), G2*(N2/100)), G2*(N2/100)))))</f>
        <v>400</v>
      </c>
      <c r="S2" s="2">
        <f t="shared" ref="S2:S13" si="1">IFERROR(J2*H2,0)+IFERROR(K2,0)</f>
        <v>360</v>
      </c>
      <c r="T2" s="2">
        <f t="shared" ref="T2:T13" si="2">R2-Q2</f>
        <v>0</v>
      </c>
      <c r="U2" s="2">
        <f t="shared" ref="U2:U13" si="3">R2-S2</f>
        <v>40</v>
      </c>
      <c r="V2" s="2"/>
      <c r="W2">
        <f>IFERROR(Q2,0)</f>
        <v>400</v>
      </c>
      <c r="X2">
        <f>IFERROR(R2,0)</f>
        <v>400</v>
      </c>
      <c r="Y2">
        <f>IFERROR(S2,0)</f>
        <v>360</v>
      </c>
    </row>
    <row r="3" spans="1:25" ht="15.95" customHeight="1" x14ac:dyDescent="0.25">
      <c r="A3" s="11">
        <v>8</v>
      </c>
      <c r="B3" s="26" t="s">
        <v>112</v>
      </c>
      <c r="C3" s="2" t="s">
        <v>33</v>
      </c>
      <c r="D3" s="2" t="s">
        <v>124</v>
      </c>
      <c r="E3" s="8">
        <v>45951</v>
      </c>
      <c r="F3" s="8">
        <v>45966</v>
      </c>
      <c r="G3" s="2">
        <v>420</v>
      </c>
      <c r="H3" s="2">
        <v>42</v>
      </c>
      <c r="I3" s="2">
        <v>10</v>
      </c>
      <c r="J3" s="2">
        <v>9</v>
      </c>
      <c r="K3" s="2">
        <v>0</v>
      </c>
      <c r="L3" s="2" t="s">
        <v>26</v>
      </c>
      <c r="M3" s="2" t="s">
        <v>27</v>
      </c>
      <c r="N3" s="2">
        <v>100</v>
      </c>
      <c r="O3" s="2">
        <v>0</v>
      </c>
      <c r="P3" s="2">
        <v>0</v>
      </c>
      <c r="Q3" s="2">
        <f>IF(F3&lt;=Costos!$B$2, G3, 0)</f>
        <v>0</v>
      </c>
      <c r="R3" s="2">
        <f t="shared" si="0"/>
        <v>420</v>
      </c>
      <c r="S3" s="2">
        <f t="shared" si="1"/>
        <v>378</v>
      </c>
      <c r="T3" s="2">
        <f t="shared" si="2"/>
        <v>420</v>
      </c>
      <c r="U3" s="2">
        <f t="shared" si="3"/>
        <v>42</v>
      </c>
      <c r="V3" s="2"/>
      <c r="W3">
        <f t="shared" ref="W3:W13" si="4">IFERROR(W2+Q3, W2)</f>
        <v>400</v>
      </c>
      <c r="X3">
        <f t="shared" ref="X3:X13" si="5">IFERROR(X2+R3, X2)</f>
        <v>820</v>
      </c>
      <c r="Y3">
        <f t="shared" ref="Y3:Y13" si="6">IFERROR(Y2+S3, Y2)</f>
        <v>738</v>
      </c>
    </row>
    <row r="4" spans="1:25" ht="15.95" customHeight="1" x14ac:dyDescent="0.25">
      <c r="A4" s="11">
        <v>2</v>
      </c>
      <c r="B4" s="26" t="s">
        <v>113</v>
      </c>
      <c r="C4" s="2" t="s">
        <v>25</v>
      </c>
      <c r="D4" s="2" t="s">
        <v>124</v>
      </c>
      <c r="E4" s="8">
        <v>45953</v>
      </c>
      <c r="F4" s="8">
        <v>45967</v>
      </c>
      <c r="G4" s="2">
        <v>480</v>
      </c>
      <c r="H4" s="2">
        <v>40</v>
      </c>
      <c r="I4" s="2">
        <v>12</v>
      </c>
      <c r="J4" s="2">
        <v>12</v>
      </c>
      <c r="K4" s="2">
        <v>0</v>
      </c>
      <c r="L4" s="2" t="s">
        <v>26</v>
      </c>
      <c r="M4" s="2" t="s">
        <v>27</v>
      </c>
      <c r="N4" s="2">
        <v>100</v>
      </c>
      <c r="O4" s="2">
        <v>0</v>
      </c>
      <c r="P4" s="2">
        <v>0</v>
      </c>
      <c r="Q4" s="2">
        <f>IF(F4&lt;=Costos!$B$2, G4, 0)</f>
        <v>0</v>
      </c>
      <c r="R4" s="2">
        <f t="shared" si="0"/>
        <v>480</v>
      </c>
      <c r="S4" s="2">
        <f t="shared" si="1"/>
        <v>480</v>
      </c>
      <c r="T4" s="2">
        <f t="shared" si="2"/>
        <v>480</v>
      </c>
      <c r="U4" s="2">
        <f t="shared" si="3"/>
        <v>0</v>
      </c>
      <c r="V4" s="2"/>
      <c r="W4">
        <f t="shared" si="4"/>
        <v>400</v>
      </c>
      <c r="X4">
        <f t="shared" si="5"/>
        <v>1300</v>
      </c>
      <c r="Y4">
        <f t="shared" si="6"/>
        <v>1218</v>
      </c>
    </row>
    <row r="5" spans="1:25" ht="15.95" customHeight="1" x14ac:dyDescent="0.25">
      <c r="A5" s="11">
        <v>3</v>
      </c>
      <c r="B5" s="26" t="s">
        <v>114</v>
      </c>
      <c r="C5" s="2" t="s">
        <v>25</v>
      </c>
      <c r="D5" s="2" t="s">
        <v>124</v>
      </c>
      <c r="E5" s="8">
        <v>45954</v>
      </c>
      <c r="F5" s="8">
        <v>45965</v>
      </c>
      <c r="G5" s="2">
        <v>560</v>
      </c>
      <c r="H5" s="2">
        <v>40</v>
      </c>
      <c r="I5" s="2">
        <v>14</v>
      </c>
      <c r="J5" s="2">
        <v>15</v>
      </c>
      <c r="K5" s="2">
        <v>0</v>
      </c>
      <c r="L5" s="2" t="s">
        <v>28</v>
      </c>
      <c r="M5" s="2" t="s">
        <v>27</v>
      </c>
      <c r="N5" s="2">
        <v>100</v>
      </c>
      <c r="O5" s="2">
        <v>6</v>
      </c>
      <c r="P5" s="2">
        <v>6</v>
      </c>
      <c r="Q5" s="2">
        <f>IF(F5&lt;=Costos!$B$2, G5, 0)</f>
        <v>560</v>
      </c>
      <c r="R5" s="2">
        <f t="shared" si="0"/>
        <v>560</v>
      </c>
      <c r="S5" s="2">
        <f t="shared" si="1"/>
        <v>600</v>
      </c>
      <c r="T5" s="2">
        <f t="shared" si="2"/>
        <v>0</v>
      </c>
      <c r="U5" s="2">
        <f t="shared" si="3"/>
        <v>-40</v>
      </c>
      <c r="V5" s="2"/>
      <c r="W5">
        <f t="shared" si="4"/>
        <v>960</v>
      </c>
      <c r="X5">
        <f t="shared" si="5"/>
        <v>1860</v>
      </c>
      <c r="Y5">
        <f t="shared" si="6"/>
        <v>1818</v>
      </c>
    </row>
    <row r="6" spans="1:25" ht="15.95" customHeight="1" x14ac:dyDescent="0.25">
      <c r="A6" s="11">
        <v>9</v>
      </c>
      <c r="B6" s="26" t="s">
        <v>115</v>
      </c>
      <c r="C6" s="2" t="s">
        <v>33</v>
      </c>
      <c r="D6" s="2" t="s">
        <v>125</v>
      </c>
      <c r="E6" s="8">
        <v>45956</v>
      </c>
      <c r="F6" s="8">
        <v>45969</v>
      </c>
      <c r="G6" s="2">
        <v>336</v>
      </c>
      <c r="H6" s="2">
        <v>42</v>
      </c>
      <c r="I6" s="2">
        <v>8</v>
      </c>
      <c r="J6" s="2">
        <v>7</v>
      </c>
      <c r="K6" s="2">
        <v>0</v>
      </c>
      <c r="L6" s="2" t="s">
        <v>26</v>
      </c>
      <c r="M6" s="2" t="s">
        <v>27</v>
      </c>
      <c r="N6" s="2">
        <v>100</v>
      </c>
      <c r="O6" s="2">
        <v>0</v>
      </c>
      <c r="P6" s="2">
        <v>0</v>
      </c>
      <c r="Q6" s="2">
        <f>IF(F6&lt;=Costos!$B$2, G6, 0)</f>
        <v>0</v>
      </c>
      <c r="R6" s="2">
        <f t="shared" si="0"/>
        <v>336</v>
      </c>
      <c r="S6" s="2">
        <f t="shared" si="1"/>
        <v>294</v>
      </c>
      <c r="T6" s="2">
        <f t="shared" si="2"/>
        <v>336</v>
      </c>
      <c r="U6" s="2">
        <f t="shared" si="3"/>
        <v>42</v>
      </c>
      <c r="V6" s="2"/>
      <c r="W6">
        <f t="shared" si="4"/>
        <v>960</v>
      </c>
      <c r="X6">
        <f t="shared" si="5"/>
        <v>2196</v>
      </c>
      <c r="Y6">
        <f t="shared" si="6"/>
        <v>2112</v>
      </c>
    </row>
    <row r="7" spans="1:25" ht="15.95" customHeight="1" x14ac:dyDescent="0.25">
      <c r="A7" s="11">
        <v>10</v>
      </c>
      <c r="B7" s="26" t="s">
        <v>116</v>
      </c>
      <c r="C7" s="2" t="s">
        <v>33</v>
      </c>
      <c r="D7" s="2" t="s">
        <v>126</v>
      </c>
      <c r="E7" s="8">
        <v>45957</v>
      </c>
      <c r="F7" s="8">
        <v>45960</v>
      </c>
      <c r="G7" s="2">
        <v>336</v>
      </c>
      <c r="H7" s="2">
        <v>42</v>
      </c>
      <c r="I7" s="2">
        <v>8</v>
      </c>
      <c r="J7" s="2">
        <v>9</v>
      </c>
      <c r="K7" s="2">
        <v>0</v>
      </c>
      <c r="L7" s="2" t="s">
        <v>28</v>
      </c>
      <c r="M7" s="2" t="s">
        <v>27</v>
      </c>
      <c r="N7" s="2">
        <v>100</v>
      </c>
      <c r="O7" s="2">
        <v>5</v>
      </c>
      <c r="P7" s="2">
        <v>5</v>
      </c>
      <c r="Q7" s="2">
        <f>IF(F7&lt;=Costos!$B$2, G7, 0)</f>
        <v>336</v>
      </c>
      <c r="R7" s="2">
        <f t="shared" si="0"/>
        <v>336</v>
      </c>
      <c r="S7" s="2">
        <f t="shared" si="1"/>
        <v>378</v>
      </c>
      <c r="T7" s="2">
        <f t="shared" si="2"/>
        <v>0</v>
      </c>
      <c r="U7" s="2">
        <f t="shared" si="3"/>
        <v>-42</v>
      </c>
      <c r="V7" s="2"/>
      <c r="W7">
        <f t="shared" si="4"/>
        <v>1296</v>
      </c>
      <c r="X7">
        <f t="shared" si="5"/>
        <v>2532</v>
      </c>
      <c r="Y7">
        <f t="shared" si="6"/>
        <v>2490</v>
      </c>
    </row>
    <row r="8" spans="1:25" ht="15.95" customHeight="1" x14ac:dyDescent="0.25">
      <c r="A8" s="11">
        <v>4</v>
      </c>
      <c r="B8" s="26" t="s">
        <v>117</v>
      </c>
      <c r="C8" s="2" t="s">
        <v>25</v>
      </c>
      <c r="D8" s="2" t="s">
        <v>127</v>
      </c>
      <c r="E8" s="8">
        <v>45957</v>
      </c>
      <c r="F8" s="8">
        <v>45961</v>
      </c>
      <c r="G8" s="2">
        <v>640</v>
      </c>
      <c r="H8" s="2">
        <v>40</v>
      </c>
      <c r="I8" s="2">
        <v>16</v>
      </c>
      <c r="J8" s="2">
        <v>12</v>
      </c>
      <c r="K8" s="2">
        <v>50</v>
      </c>
      <c r="L8" s="2" t="s">
        <v>28</v>
      </c>
      <c r="M8" s="2" t="s">
        <v>29</v>
      </c>
      <c r="N8" s="2">
        <v>70</v>
      </c>
      <c r="O8" s="2">
        <v>10</v>
      </c>
      <c r="P8" s="2">
        <v>7</v>
      </c>
      <c r="Q8" s="2">
        <f>IF(F8&lt;=Costos!$B$2, G8, 0)</f>
        <v>640</v>
      </c>
      <c r="R8" s="2">
        <f t="shared" si="0"/>
        <v>914.28571428571433</v>
      </c>
      <c r="S8" s="2">
        <f t="shared" si="1"/>
        <v>530</v>
      </c>
      <c r="T8" s="2">
        <f t="shared" si="2"/>
        <v>274.28571428571433</v>
      </c>
      <c r="U8" s="2">
        <f t="shared" si="3"/>
        <v>384.28571428571433</v>
      </c>
      <c r="V8" s="2"/>
      <c r="W8">
        <f t="shared" si="4"/>
        <v>1936</v>
      </c>
      <c r="X8">
        <f t="shared" si="5"/>
        <v>3446.2857142857142</v>
      </c>
      <c r="Y8">
        <f t="shared" si="6"/>
        <v>3020</v>
      </c>
    </row>
    <row r="9" spans="1:25" ht="15.95" customHeight="1" x14ac:dyDescent="0.25">
      <c r="A9" s="11">
        <v>7</v>
      </c>
      <c r="B9" s="26" t="s">
        <v>118</v>
      </c>
      <c r="C9" s="2" t="s">
        <v>32</v>
      </c>
      <c r="D9" s="2" t="s">
        <v>125</v>
      </c>
      <c r="E9" s="8">
        <v>45960</v>
      </c>
      <c r="F9" s="8">
        <v>45964</v>
      </c>
      <c r="G9" s="2">
        <v>160</v>
      </c>
      <c r="H9" s="2">
        <v>40</v>
      </c>
      <c r="I9" s="2">
        <v>4</v>
      </c>
      <c r="J9" s="2">
        <v>5</v>
      </c>
      <c r="K9" s="2">
        <v>0</v>
      </c>
      <c r="L9" s="2" t="s">
        <v>31</v>
      </c>
      <c r="M9" s="2" t="s">
        <v>27</v>
      </c>
      <c r="N9" s="2">
        <v>100</v>
      </c>
      <c r="O9" s="2">
        <v>0</v>
      </c>
      <c r="P9" s="2">
        <v>0</v>
      </c>
      <c r="Q9" s="2">
        <f>IF(F9&lt;=Costos!$B$2, G9, 0)</f>
        <v>160</v>
      </c>
      <c r="R9" s="2">
        <f t="shared" si="0"/>
        <v>160</v>
      </c>
      <c r="S9" s="2">
        <f t="shared" si="1"/>
        <v>200</v>
      </c>
      <c r="T9" s="2">
        <f t="shared" si="2"/>
        <v>0</v>
      </c>
      <c r="U9" s="2">
        <f t="shared" si="3"/>
        <v>-40</v>
      </c>
      <c r="V9" s="2"/>
      <c r="W9">
        <f t="shared" si="4"/>
        <v>2096</v>
      </c>
      <c r="X9">
        <f t="shared" si="5"/>
        <v>3606.2857142857142</v>
      </c>
      <c r="Y9">
        <f t="shared" si="6"/>
        <v>3220</v>
      </c>
    </row>
    <row r="10" spans="1:25" ht="15.95" customHeight="1" x14ac:dyDescent="0.25">
      <c r="A10" s="11">
        <v>5</v>
      </c>
      <c r="B10" s="26" t="s">
        <v>119</v>
      </c>
      <c r="C10" s="2" t="s">
        <v>25</v>
      </c>
      <c r="D10" s="2" t="s">
        <v>128</v>
      </c>
      <c r="E10" s="8">
        <v>45958</v>
      </c>
      <c r="F10" s="8">
        <v>45964</v>
      </c>
      <c r="G10" s="2">
        <v>720</v>
      </c>
      <c r="H10" s="2">
        <v>45</v>
      </c>
      <c r="I10" s="2">
        <v>16</v>
      </c>
      <c r="J10" s="2">
        <v>8</v>
      </c>
      <c r="K10" s="2">
        <v>0</v>
      </c>
      <c r="L10" s="2" t="s">
        <v>30</v>
      </c>
      <c r="M10" s="2" t="s">
        <v>29</v>
      </c>
      <c r="N10" s="2">
        <v>40</v>
      </c>
      <c r="O10" s="2">
        <v>0</v>
      </c>
      <c r="P10" s="2">
        <v>0</v>
      </c>
      <c r="Q10" s="2">
        <f>IF(F10&lt;=Costos!$B$2, G10, 0)</f>
        <v>720</v>
      </c>
      <c r="R10" s="2">
        <f t="shared" si="0"/>
        <v>144</v>
      </c>
      <c r="S10" s="2">
        <f t="shared" si="1"/>
        <v>360</v>
      </c>
      <c r="T10" s="2">
        <f t="shared" si="2"/>
        <v>-576</v>
      </c>
      <c r="U10" s="2">
        <f t="shared" si="3"/>
        <v>-216</v>
      </c>
      <c r="V10" s="2"/>
      <c r="W10">
        <f t="shared" si="4"/>
        <v>2816</v>
      </c>
      <c r="X10">
        <f t="shared" si="5"/>
        <v>3750.2857142857142</v>
      </c>
      <c r="Y10">
        <f t="shared" si="6"/>
        <v>3580</v>
      </c>
    </row>
    <row r="11" spans="1:25" ht="15.95" customHeight="1" x14ac:dyDescent="0.25">
      <c r="A11" s="11">
        <v>6</v>
      </c>
      <c r="B11" s="26" t="s">
        <v>120</v>
      </c>
      <c r="C11" s="2" t="s">
        <v>25</v>
      </c>
      <c r="D11" s="2" t="s">
        <v>126</v>
      </c>
      <c r="E11" s="8">
        <v>45959</v>
      </c>
      <c r="F11" s="8">
        <v>45962</v>
      </c>
      <c r="G11" s="2">
        <v>810</v>
      </c>
      <c r="H11" s="2">
        <v>45</v>
      </c>
      <c r="I11" s="2">
        <v>18</v>
      </c>
      <c r="J11" s="2">
        <v>10</v>
      </c>
      <c r="K11" s="2">
        <v>0</v>
      </c>
      <c r="L11" s="2" t="s">
        <v>31</v>
      </c>
      <c r="M11" s="2" t="s">
        <v>29</v>
      </c>
      <c r="N11" s="2">
        <v>60</v>
      </c>
      <c r="O11" s="2">
        <v>0</v>
      </c>
      <c r="P11" s="2">
        <v>0</v>
      </c>
      <c r="Q11" s="2">
        <f>IF(F11&lt;=Costos!$B$2, G11, 0)</f>
        <v>810</v>
      </c>
      <c r="R11" s="2">
        <f t="shared" si="0"/>
        <v>0</v>
      </c>
      <c r="S11" s="2">
        <f t="shared" si="1"/>
        <v>450</v>
      </c>
      <c r="T11" s="2">
        <f t="shared" si="2"/>
        <v>-810</v>
      </c>
      <c r="U11" s="2">
        <f t="shared" si="3"/>
        <v>-450</v>
      </c>
      <c r="V11" s="2"/>
      <c r="W11">
        <f t="shared" si="4"/>
        <v>3626</v>
      </c>
      <c r="X11">
        <f t="shared" si="5"/>
        <v>3750.2857142857142</v>
      </c>
      <c r="Y11">
        <f t="shared" si="6"/>
        <v>4030</v>
      </c>
    </row>
    <row r="12" spans="1:25" ht="15.95" customHeight="1" x14ac:dyDescent="0.25">
      <c r="A12" s="11">
        <v>11</v>
      </c>
      <c r="B12" s="26" t="s">
        <v>121</v>
      </c>
      <c r="C12" s="2" t="s">
        <v>33</v>
      </c>
      <c r="D12" s="2" t="s">
        <v>127</v>
      </c>
      <c r="E12" s="8">
        <v>45961</v>
      </c>
      <c r="F12" s="8">
        <v>45964</v>
      </c>
      <c r="G12" s="2">
        <v>480</v>
      </c>
      <c r="H12" s="2">
        <v>40</v>
      </c>
      <c r="I12" s="2">
        <v>12</v>
      </c>
      <c r="J12" s="2">
        <v>6</v>
      </c>
      <c r="K12" s="2">
        <v>0</v>
      </c>
      <c r="L12" s="2" t="s">
        <v>30</v>
      </c>
      <c r="M12" s="2" t="s">
        <v>29</v>
      </c>
      <c r="N12" s="2">
        <v>30</v>
      </c>
      <c r="O12" s="2">
        <v>0</v>
      </c>
      <c r="P12" s="2">
        <v>0</v>
      </c>
      <c r="Q12" s="2">
        <f>IF(F12&lt;=Costos!$B$2, G12, 0)</f>
        <v>480</v>
      </c>
      <c r="R12" s="2">
        <f t="shared" si="0"/>
        <v>96</v>
      </c>
      <c r="S12" s="2">
        <f t="shared" si="1"/>
        <v>240</v>
      </c>
      <c r="T12" s="2">
        <f t="shared" si="2"/>
        <v>-384</v>
      </c>
      <c r="U12" s="2">
        <f t="shared" si="3"/>
        <v>-144</v>
      </c>
      <c r="V12" s="2"/>
      <c r="W12">
        <f t="shared" si="4"/>
        <v>4106</v>
      </c>
      <c r="X12">
        <f t="shared" si="5"/>
        <v>3846.2857142857142</v>
      </c>
      <c r="Y12">
        <f t="shared" si="6"/>
        <v>4270</v>
      </c>
    </row>
    <row r="13" spans="1:25" ht="15.95" customHeight="1" x14ac:dyDescent="0.25">
      <c r="A13" s="11">
        <v>12</v>
      </c>
      <c r="B13" s="26" t="s">
        <v>122</v>
      </c>
      <c r="C13" s="2" t="s">
        <v>33</v>
      </c>
      <c r="D13" s="2" t="s">
        <v>111</v>
      </c>
      <c r="E13" s="8">
        <v>45962</v>
      </c>
      <c r="F13" s="8">
        <v>45964</v>
      </c>
      <c r="G13" s="2">
        <v>240</v>
      </c>
      <c r="H13" s="2">
        <v>40</v>
      </c>
      <c r="I13" s="2">
        <v>6</v>
      </c>
      <c r="J13" s="2">
        <v>0</v>
      </c>
      <c r="K13" s="2">
        <v>0</v>
      </c>
      <c r="L13" s="2" t="s">
        <v>31</v>
      </c>
      <c r="M13" s="2" t="s">
        <v>34</v>
      </c>
      <c r="N13" s="2">
        <v>0</v>
      </c>
      <c r="O13" s="2">
        <v>0</v>
      </c>
      <c r="P13" s="2">
        <v>0</v>
      </c>
      <c r="Q13" s="2">
        <f>IF(F13&lt;=Costos!$B$2, G13, 0)</f>
        <v>240</v>
      </c>
      <c r="R13" s="2">
        <f t="shared" si="0"/>
        <v>0</v>
      </c>
      <c r="S13" s="2">
        <f t="shared" si="1"/>
        <v>0</v>
      </c>
      <c r="T13" s="2">
        <f t="shared" si="2"/>
        <v>-240</v>
      </c>
      <c r="U13" s="2">
        <f t="shared" si="3"/>
        <v>0</v>
      </c>
      <c r="V13" s="2"/>
      <c r="W13">
        <f t="shared" si="4"/>
        <v>4346</v>
      </c>
      <c r="X13">
        <f t="shared" si="5"/>
        <v>3846.2857142857142</v>
      </c>
      <c r="Y13">
        <f t="shared" si="6"/>
        <v>4270</v>
      </c>
    </row>
    <row r="14" spans="1:25" ht="15.95" customHeight="1" x14ac:dyDescent="0.25">
      <c r="A14" s="27">
        <v>13</v>
      </c>
      <c r="B14" s="28" t="s">
        <v>123</v>
      </c>
      <c r="C14" s="29" t="s">
        <v>33</v>
      </c>
      <c r="D14" s="29" t="s">
        <v>128</v>
      </c>
      <c r="E14" s="30">
        <v>45962</v>
      </c>
      <c r="F14" s="30">
        <v>45964</v>
      </c>
      <c r="G14" s="29">
        <v>240</v>
      </c>
      <c r="H14" s="29">
        <v>40</v>
      </c>
      <c r="I14" s="29">
        <v>6</v>
      </c>
      <c r="J14" s="29">
        <v>0</v>
      </c>
      <c r="K14" s="29">
        <v>0</v>
      </c>
      <c r="L14" s="29" t="s">
        <v>31</v>
      </c>
      <c r="M14" s="29" t="s">
        <v>34</v>
      </c>
      <c r="N14" s="29">
        <v>0</v>
      </c>
      <c r="O14" s="29">
        <v>0</v>
      </c>
      <c r="P14" s="29">
        <v>0</v>
      </c>
      <c r="Q14" s="29">
        <f>IF(F14&lt;=Costos!$B$2, G14, 0)</f>
        <v>240</v>
      </c>
      <c r="R14" s="29">
        <f t="shared" ref="R14" si="7">IF(L14="0/100", IF(N14=100, G14, 0), IF(L14="50/50", IF(M14="H", G14, IF(M14="EP", G14*0.5, 0)), IF(L14="20/80", IF(M14="H", G14, IF(M14="EP", G14*0.2, 0)), IF(L14="Por checklist", IF(P14&gt;0, G14*(O14/P14), G14*(N14/100)), G14*(N14/100)))))</f>
        <v>0</v>
      </c>
      <c r="S14" s="29">
        <f t="shared" ref="S14" si="8">IFERROR(J14*H14,0)+IFERROR(K14,0)</f>
        <v>0</v>
      </c>
      <c r="T14" s="29">
        <f t="shared" ref="T14" si="9">R14-Q14</f>
        <v>-240</v>
      </c>
      <c r="U14" s="29">
        <f t="shared" ref="U14" si="10">R14-S14</f>
        <v>0</v>
      </c>
      <c r="V14" s="29"/>
      <c r="W14" s="31">
        <f t="shared" ref="W14" si="11">IFERROR(W13+Q14, W13)</f>
        <v>4586</v>
      </c>
      <c r="X14" s="31">
        <f t="shared" ref="X14" si="12">IFERROR(X13+R14, X13)</f>
        <v>3846.2857142857142</v>
      </c>
      <c r="Y14" s="31">
        <f t="shared" ref="Y14" si="13">IFERROR(Y13+S14, Y13)</f>
        <v>4270</v>
      </c>
    </row>
    <row r="15" spans="1:25" ht="15.9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">
        <v>34</v>
      </c>
      <c r="N15" s="2"/>
      <c r="O15" s="2"/>
      <c r="P15" s="2"/>
      <c r="Q15" s="2">
        <f>IF(F15&lt;=Costos!$B$2, G15, 0)</f>
        <v>0</v>
      </c>
      <c r="R15" s="2">
        <f t="shared" ref="R14:R40" si="14">IF(L15="0/100", IF(N15=100, G15, 0), IF(L15="50/50", IF(M15="H", G15, IF(M15="EP", G15*0.5, 0)), IF(L15="20/80", IF(M15="H", G15, IF(M15="EP", G15*0.2, 0)), IF(L15="Por checklist", IF(P15&gt;0, G15*(O15/P15), G15*(N15/100)), G15*(N15/100)))))</f>
        <v>0</v>
      </c>
      <c r="S15" s="2">
        <f t="shared" ref="S14:S40" si="15">IFERROR(J15*H15,0)+IFERROR(K15,0)</f>
        <v>0</v>
      </c>
      <c r="T15" s="2">
        <f t="shared" ref="T14:T40" si="16">R15-Q15</f>
        <v>0</v>
      </c>
      <c r="U15" s="2">
        <f t="shared" ref="U14:U40" si="17">R15-S15</f>
        <v>0</v>
      </c>
      <c r="V15" s="2"/>
      <c r="W15">
        <f t="shared" ref="W14:W40" si="18">IFERROR(W14+Q15, W14)</f>
        <v>4586</v>
      </c>
      <c r="X15">
        <f t="shared" ref="X14:X40" si="19">IFERROR(X14+R15, X14)</f>
        <v>3846.2857142857142</v>
      </c>
      <c r="Y15">
        <f t="shared" ref="Y14:Y40" si="20">IFERROR(Y14+S15, Y14)</f>
        <v>4270</v>
      </c>
    </row>
    <row r="16" spans="1:25" ht="15.9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34</v>
      </c>
      <c r="N16" s="2"/>
      <c r="O16" s="2"/>
      <c r="P16" s="2"/>
      <c r="Q16" s="2">
        <f>IF(F16&lt;=Costos!$B$2, G16, 0)</f>
        <v>0</v>
      </c>
      <c r="R16" s="2">
        <f t="shared" si="14"/>
        <v>0</v>
      </c>
      <c r="S16" s="2">
        <f t="shared" si="15"/>
        <v>0</v>
      </c>
      <c r="T16" s="2">
        <f t="shared" si="16"/>
        <v>0</v>
      </c>
      <c r="U16" s="2">
        <f t="shared" si="17"/>
        <v>0</v>
      </c>
      <c r="V16" s="2"/>
      <c r="W16">
        <f t="shared" si="18"/>
        <v>4586</v>
      </c>
      <c r="X16">
        <f t="shared" si="19"/>
        <v>3846.2857142857142</v>
      </c>
      <c r="Y16">
        <f t="shared" si="20"/>
        <v>4270</v>
      </c>
    </row>
    <row r="17" spans="1:25" ht="15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 t="s">
        <v>34</v>
      </c>
      <c r="N17" s="2"/>
      <c r="O17" s="2"/>
      <c r="P17" s="2"/>
      <c r="Q17" s="2">
        <f>IF(F17&lt;=Costos!$B$2, G17, 0)</f>
        <v>0</v>
      </c>
      <c r="R17" s="2">
        <f t="shared" si="14"/>
        <v>0</v>
      </c>
      <c r="S17" s="2">
        <f t="shared" si="15"/>
        <v>0</v>
      </c>
      <c r="T17" s="2">
        <f t="shared" si="16"/>
        <v>0</v>
      </c>
      <c r="U17" s="2">
        <f t="shared" si="17"/>
        <v>0</v>
      </c>
      <c r="V17" s="2"/>
      <c r="W17">
        <f t="shared" si="18"/>
        <v>4586</v>
      </c>
      <c r="X17">
        <f t="shared" si="19"/>
        <v>3846.2857142857142</v>
      </c>
      <c r="Y17">
        <f t="shared" si="20"/>
        <v>4270</v>
      </c>
    </row>
    <row r="18" spans="1:25" ht="15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 t="s">
        <v>34</v>
      </c>
      <c r="N18" s="2"/>
      <c r="O18" s="2"/>
      <c r="P18" s="2"/>
      <c r="Q18" s="2">
        <f>IF(F18&lt;=Costos!$B$2, G18, 0)</f>
        <v>0</v>
      </c>
      <c r="R18" s="2">
        <f t="shared" si="14"/>
        <v>0</v>
      </c>
      <c r="S18" s="2">
        <f t="shared" si="15"/>
        <v>0</v>
      </c>
      <c r="T18" s="2">
        <f t="shared" si="16"/>
        <v>0</v>
      </c>
      <c r="U18" s="2">
        <f t="shared" si="17"/>
        <v>0</v>
      </c>
      <c r="V18" s="2"/>
      <c r="W18">
        <f t="shared" si="18"/>
        <v>4586</v>
      </c>
      <c r="X18">
        <f t="shared" si="19"/>
        <v>3846.2857142857142</v>
      </c>
      <c r="Y18">
        <f t="shared" si="20"/>
        <v>4270</v>
      </c>
    </row>
    <row r="19" spans="1:25" ht="15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 t="s">
        <v>34</v>
      </c>
      <c r="N19" s="2"/>
      <c r="O19" s="2"/>
      <c r="P19" s="2"/>
      <c r="Q19" s="2">
        <f>IF(F19&lt;=Costos!$B$2, G19, 0)</f>
        <v>0</v>
      </c>
      <c r="R19" s="2">
        <f t="shared" si="14"/>
        <v>0</v>
      </c>
      <c r="S19" s="2">
        <f t="shared" si="15"/>
        <v>0</v>
      </c>
      <c r="T19" s="2">
        <f t="shared" si="16"/>
        <v>0</v>
      </c>
      <c r="U19" s="2">
        <f t="shared" si="17"/>
        <v>0</v>
      </c>
      <c r="V19" s="2"/>
      <c r="W19">
        <f t="shared" si="18"/>
        <v>4586</v>
      </c>
      <c r="X19">
        <f t="shared" si="19"/>
        <v>3846.2857142857142</v>
      </c>
      <c r="Y19">
        <f t="shared" si="20"/>
        <v>4270</v>
      </c>
    </row>
    <row r="20" spans="1:25" ht="15.9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 t="s">
        <v>34</v>
      </c>
      <c r="N20" s="2"/>
      <c r="O20" s="2"/>
      <c r="P20" s="2"/>
      <c r="Q20" s="2">
        <f>IF(F20&lt;=Costos!$B$2, G20, 0)</f>
        <v>0</v>
      </c>
      <c r="R20" s="2">
        <f t="shared" si="14"/>
        <v>0</v>
      </c>
      <c r="S20" s="2">
        <f t="shared" si="15"/>
        <v>0</v>
      </c>
      <c r="T20" s="2">
        <f t="shared" si="16"/>
        <v>0</v>
      </c>
      <c r="U20" s="2">
        <f t="shared" si="17"/>
        <v>0</v>
      </c>
      <c r="V20" s="2"/>
      <c r="W20">
        <f t="shared" si="18"/>
        <v>4586</v>
      </c>
      <c r="X20">
        <f t="shared" si="19"/>
        <v>3846.2857142857142</v>
      </c>
      <c r="Y20">
        <f t="shared" si="20"/>
        <v>4270</v>
      </c>
    </row>
    <row r="21" spans="1:25" ht="15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 t="s">
        <v>34</v>
      </c>
      <c r="N21" s="2"/>
      <c r="O21" s="2"/>
      <c r="P21" s="2"/>
      <c r="Q21" s="2">
        <f>IF(F21&lt;=Costos!$B$2, G21, 0)</f>
        <v>0</v>
      </c>
      <c r="R21" s="2">
        <f t="shared" si="14"/>
        <v>0</v>
      </c>
      <c r="S21" s="2">
        <f t="shared" si="15"/>
        <v>0</v>
      </c>
      <c r="T21" s="2">
        <f t="shared" si="16"/>
        <v>0</v>
      </c>
      <c r="U21" s="2">
        <f t="shared" si="17"/>
        <v>0</v>
      </c>
      <c r="V21" s="2"/>
      <c r="W21">
        <f t="shared" si="18"/>
        <v>4586</v>
      </c>
      <c r="X21">
        <f t="shared" si="19"/>
        <v>3846.2857142857142</v>
      </c>
      <c r="Y21">
        <f t="shared" si="20"/>
        <v>4270</v>
      </c>
    </row>
    <row r="22" spans="1:25" ht="15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 t="s">
        <v>34</v>
      </c>
      <c r="N22" s="2"/>
      <c r="O22" s="2"/>
      <c r="P22" s="2"/>
      <c r="Q22" s="2">
        <f>IF(F22&lt;=Costos!$B$2, G22, 0)</f>
        <v>0</v>
      </c>
      <c r="R22" s="2">
        <f t="shared" si="14"/>
        <v>0</v>
      </c>
      <c r="S22" s="2">
        <f t="shared" si="15"/>
        <v>0</v>
      </c>
      <c r="T22" s="2">
        <f t="shared" si="16"/>
        <v>0</v>
      </c>
      <c r="U22" s="2">
        <f t="shared" si="17"/>
        <v>0</v>
      </c>
      <c r="V22" s="2"/>
      <c r="W22">
        <f t="shared" si="18"/>
        <v>4586</v>
      </c>
      <c r="X22">
        <f t="shared" si="19"/>
        <v>3846.2857142857142</v>
      </c>
      <c r="Y22">
        <f t="shared" si="20"/>
        <v>4270</v>
      </c>
    </row>
    <row r="23" spans="1:25" ht="15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 t="s">
        <v>34</v>
      </c>
      <c r="N23" s="2"/>
      <c r="O23" s="2"/>
      <c r="P23" s="2"/>
      <c r="Q23" s="2">
        <f>IF(F23&lt;=Costos!$B$2, G23, 0)</f>
        <v>0</v>
      </c>
      <c r="R23" s="2">
        <f t="shared" si="14"/>
        <v>0</v>
      </c>
      <c r="S23" s="2">
        <f t="shared" si="15"/>
        <v>0</v>
      </c>
      <c r="T23" s="2">
        <f t="shared" si="16"/>
        <v>0</v>
      </c>
      <c r="U23" s="2">
        <f t="shared" si="17"/>
        <v>0</v>
      </c>
      <c r="V23" s="2"/>
      <c r="W23">
        <f t="shared" si="18"/>
        <v>4586</v>
      </c>
      <c r="X23">
        <f t="shared" si="19"/>
        <v>3846.2857142857142</v>
      </c>
      <c r="Y23">
        <f t="shared" si="20"/>
        <v>4270</v>
      </c>
    </row>
    <row r="24" spans="1:25" ht="15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 t="s">
        <v>34</v>
      </c>
      <c r="N24" s="2"/>
      <c r="O24" s="2"/>
      <c r="P24" s="2"/>
      <c r="Q24" s="2">
        <f>IF(F24&lt;=Costos!$B$2, G24, 0)</f>
        <v>0</v>
      </c>
      <c r="R24" s="2">
        <f t="shared" si="14"/>
        <v>0</v>
      </c>
      <c r="S24" s="2">
        <f t="shared" si="15"/>
        <v>0</v>
      </c>
      <c r="T24" s="2">
        <f t="shared" si="16"/>
        <v>0</v>
      </c>
      <c r="U24" s="2">
        <f t="shared" si="17"/>
        <v>0</v>
      </c>
      <c r="V24" s="2"/>
      <c r="W24">
        <f t="shared" si="18"/>
        <v>4586</v>
      </c>
      <c r="X24">
        <f t="shared" si="19"/>
        <v>3846.2857142857142</v>
      </c>
      <c r="Y24">
        <f t="shared" si="20"/>
        <v>4270</v>
      </c>
    </row>
    <row r="25" spans="1:25" ht="15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 t="s">
        <v>34</v>
      </c>
      <c r="N25" s="2"/>
      <c r="O25" s="2"/>
      <c r="P25" s="2"/>
      <c r="Q25" s="2">
        <f>IF(F25&lt;=Costos!$B$2, G25, 0)</f>
        <v>0</v>
      </c>
      <c r="R25" s="2">
        <f t="shared" si="14"/>
        <v>0</v>
      </c>
      <c r="S25" s="2">
        <f t="shared" si="15"/>
        <v>0</v>
      </c>
      <c r="T25" s="2">
        <f t="shared" si="16"/>
        <v>0</v>
      </c>
      <c r="U25" s="2">
        <f t="shared" si="17"/>
        <v>0</v>
      </c>
      <c r="V25" s="2"/>
      <c r="W25">
        <f t="shared" si="18"/>
        <v>4586</v>
      </c>
      <c r="X25">
        <f t="shared" si="19"/>
        <v>3846.2857142857142</v>
      </c>
      <c r="Y25">
        <f t="shared" si="20"/>
        <v>4270</v>
      </c>
    </row>
    <row r="26" spans="1:25" ht="15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 t="s">
        <v>34</v>
      </c>
      <c r="N26" s="2"/>
      <c r="O26" s="2"/>
      <c r="P26" s="2"/>
      <c r="Q26" s="2">
        <f>IF(F26&lt;=Costos!$B$2, G26, 0)</f>
        <v>0</v>
      </c>
      <c r="R26" s="2">
        <f t="shared" si="14"/>
        <v>0</v>
      </c>
      <c r="S26" s="2">
        <f t="shared" si="15"/>
        <v>0</v>
      </c>
      <c r="T26" s="2">
        <f t="shared" si="16"/>
        <v>0</v>
      </c>
      <c r="U26" s="2">
        <f t="shared" si="17"/>
        <v>0</v>
      </c>
      <c r="V26" s="2"/>
      <c r="W26">
        <f t="shared" si="18"/>
        <v>4586</v>
      </c>
      <c r="X26">
        <f t="shared" si="19"/>
        <v>3846.2857142857142</v>
      </c>
      <c r="Y26">
        <f t="shared" si="20"/>
        <v>4270</v>
      </c>
    </row>
    <row r="27" spans="1:25" ht="15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 t="s">
        <v>34</v>
      </c>
      <c r="N27" s="2"/>
      <c r="O27" s="2"/>
      <c r="P27" s="2"/>
      <c r="Q27" s="2">
        <f>IF(F27&lt;=Costos!$B$2, G27, 0)</f>
        <v>0</v>
      </c>
      <c r="R27" s="2">
        <f t="shared" si="14"/>
        <v>0</v>
      </c>
      <c r="S27" s="2">
        <f t="shared" si="15"/>
        <v>0</v>
      </c>
      <c r="T27" s="2">
        <f t="shared" si="16"/>
        <v>0</v>
      </c>
      <c r="U27" s="2">
        <f t="shared" si="17"/>
        <v>0</v>
      </c>
      <c r="V27" s="2"/>
      <c r="W27">
        <f t="shared" si="18"/>
        <v>4586</v>
      </c>
      <c r="X27">
        <f t="shared" si="19"/>
        <v>3846.2857142857142</v>
      </c>
      <c r="Y27">
        <f t="shared" si="20"/>
        <v>4270</v>
      </c>
    </row>
    <row r="28" spans="1:25" ht="15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 t="s">
        <v>34</v>
      </c>
      <c r="N28" s="2"/>
      <c r="O28" s="2"/>
      <c r="P28" s="2"/>
      <c r="Q28" s="2">
        <f>IF(F28&lt;=Costos!$B$2, G28, 0)</f>
        <v>0</v>
      </c>
      <c r="R28" s="2">
        <f t="shared" si="14"/>
        <v>0</v>
      </c>
      <c r="S28" s="2">
        <f t="shared" si="15"/>
        <v>0</v>
      </c>
      <c r="T28" s="2">
        <f t="shared" si="16"/>
        <v>0</v>
      </c>
      <c r="U28" s="2">
        <f t="shared" si="17"/>
        <v>0</v>
      </c>
      <c r="V28" s="2"/>
      <c r="W28">
        <f t="shared" si="18"/>
        <v>4586</v>
      </c>
      <c r="X28">
        <f t="shared" si="19"/>
        <v>3846.2857142857142</v>
      </c>
      <c r="Y28">
        <f t="shared" si="20"/>
        <v>4270</v>
      </c>
    </row>
    <row r="29" spans="1:25" ht="15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 t="s">
        <v>34</v>
      </c>
      <c r="N29" s="2"/>
      <c r="O29" s="2"/>
      <c r="P29" s="2"/>
      <c r="Q29" s="2">
        <f>IF(F29&lt;=Costos!$B$2, G29, 0)</f>
        <v>0</v>
      </c>
      <c r="R29" s="2">
        <f t="shared" si="14"/>
        <v>0</v>
      </c>
      <c r="S29" s="2">
        <f t="shared" si="15"/>
        <v>0</v>
      </c>
      <c r="T29" s="2">
        <f t="shared" si="16"/>
        <v>0</v>
      </c>
      <c r="U29" s="2">
        <f t="shared" si="17"/>
        <v>0</v>
      </c>
      <c r="V29" s="2"/>
      <c r="W29">
        <f t="shared" si="18"/>
        <v>4586</v>
      </c>
      <c r="X29">
        <f t="shared" si="19"/>
        <v>3846.2857142857142</v>
      </c>
      <c r="Y29">
        <f t="shared" si="20"/>
        <v>4270</v>
      </c>
    </row>
    <row r="30" spans="1:25" ht="15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 t="s">
        <v>34</v>
      </c>
      <c r="N30" s="2"/>
      <c r="O30" s="2"/>
      <c r="P30" s="2"/>
      <c r="Q30" s="2">
        <f>IF(F30&lt;=Costos!$B$2, G30, 0)</f>
        <v>0</v>
      </c>
      <c r="R30" s="2">
        <f t="shared" si="14"/>
        <v>0</v>
      </c>
      <c r="S30" s="2">
        <f t="shared" si="15"/>
        <v>0</v>
      </c>
      <c r="T30" s="2">
        <f t="shared" si="16"/>
        <v>0</v>
      </c>
      <c r="U30" s="2">
        <f t="shared" si="17"/>
        <v>0</v>
      </c>
      <c r="V30" s="2"/>
      <c r="W30">
        <f t="shared" si="18"/>
        <v>4586</v>
      </c>
      <c r="X30">
        <f t="shared" si="19"/>
        <v>3846.2857142857142</v>
      </c>
      <c r="Y30">
        <f t="shared" si="20"/>
        <v>4270</v>
      </c>
    </row>
    <row r="31" spans="1:25" ht="15.9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 t="s">
        <v>34</v>
      </c>
      <c r="N31" s="2"/>
      <c r="O31" s="2"/>
      <c r="P31" s="2"/>
      <c r="Q31" s="2">
        <f>IF(F31&lt;=Costos!$B$2, G31, 0)</f>
        <v>0</v>
      </c>
      <c r="R31" s="2">
        <f t="shared" si="14"/>
        <v>0</v>
      </c>
      <c r="S31" s="2">
        <f t="shared" si="15"/>
        <v>0</v>
      </c>
      <c r="T31" s="2">
        <f t="shared" si="16"/>
        <v>0</v>
      </c>
      <c r="U31" s="2">
        <f t="shared" si="17"/>
        <v>0</v>
      </c>
      <c r="V31" s="2"/>
      <c r="W31">
        <f t="shared" si="18"/>
        <v>4586</v>
      </c>
      <c r="X31">
        <f t="shared" si="19"/>
        <v>3846.2857142857142</v>
      </c>
      <c r="Y31">
        <f t="shared" si="20"/>
        <v>4270</v>
      </c>
    </row>
    <row r="32" spans="1:25" ht="15.9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 t="s">
        <v>34</v>
      </c>
      <c r="N32" s="2"/>
      <c r="O32" s="2"/>
      <c r="P32" s="2"/>
      <c r="Q32" s="2">
        <f>IF(F32&lt;=Costos!$B$2, G32, 0)</f>
        <v>0</v>
      </c>
      <c r="R32" s="2">
        <f t="shared" si="14"/>
        <v>0</v>
      </c>
      <c r="S32" s="2">
        <f t="shared" si="15"/>
        <v>0</v>
      </c>
      <c r="T32" s="2">
        <f t="shared" si="16"/>
        <v>0</v>
      </c>
      <c r="U32" s="2">
        <f t="shared" si="17"/>
        <v>0</v>
      </c>
      <c r="V32" s="2"/>
      <c r="W32">
        <f t="shared" si="18"/>
        <v>4586</v>
      </c>
      <c r="X32">
        <f t="shared" si="19"/>
        <v>3846.2857142857142</v>
      </c>
      <c r="Y32">
        <f t="shared" si="20"/>
        <v>4270</v>
      </c>
    </row>
    <row r="33" spans="1:25" ht="15.9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 t="s">
        <v>34</v>
      </c>
      <c r="N33" s="2"/>
      <c r="O33" s="2"/>
      <c r="P33" s="2"/>
      <c r="Q33" s="2">
        <f>IF(F33&lt;=Costos!$B$2, G33, 0)</f>
        <v>0</v>
      </c>
      <c r="R33" s="2">
        <f t="shared" si="14"/>
        <v>0</v>
      </c>
      <c r="S33" s="2">
        <f t="shared" si="15"/>
        <v>0</v>
      </c>
      <c r="T33" s="2">
        <f t="shared" si="16"/>
        <v>0</v>
      </c>
      <c r="U33" s="2">
        <f t="shared" si="17"/>
        <v>0</v>
      </c>
      <c r="V33" s="2"/>
      <c r="W33">
        <f t="shared" si="18"/>
        <v>4586</v>
      </c>
      <c r="X33">
        <f t="shared" si="19"/>
        <v>3846.2857142857142</v>
      </c>
      <c r="Y33">
        <f t="shared" si="20"/>
        <v>4270</v>
      </c>
    </row>
    <row r="34" spans="1:25" ht="15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 t="s">
        <v>34</v>
      </c>
      <c r="N34" s="2"/>
      <c r="O34" s="2"/>
      <c r="P34" s="2"/>
      <c r="Q34" s="2">
        <f>IF(F34&lt;=Costos!$B$2, G34, 0)</f>
        <v>0</v>
      </c>
      <c r="R34" s="2">
        <f t="shared" si="14"/>
        <v>0</v>
      </c>
      <c r="S34" s="2">
        <f t="shared" si="15"/>
        <v>0</v>
      </c>
      <c r="T34" s="2">
        <f t="shared" si="16"/>
        <v>0</v>
      </c>
      <c r="U34" s="2">
        <f t="shared" si="17"/>
        <v>0</v>
      </c>
      <c r="V34" s="2"/>
      <c r="W34">
        <f t="shared" si="18"/>
        <v>4586</v>
      </c>
      <c r="X34">
        <f t="shared" si="19"/>
        <v>3846.2857142857142</v>
      </c>
      <c r="Y34">
        <f t="shared" si="20"/>
        <v>4270</v>
      </c>
    </row>
    <row r="35" spans="1:25" ht="15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 t="s">
        <v>34</v>
      </c>
      <c r="N35" s="2"/>
      <c r="O35" s="2"/>
      <c r="P35" s="2"/>
      <c r="Q35" s="2">
        <f>IF(F35&lt;=Costos!$B$2, G35, 0)</f>
        <v>0</v>
      </c>
      <c r="R35" s="2">
        <f t="shared" si="14"/>
        <v>0</v>
      </c>
      <c r="S35" s="2">
        <f t="shared" si="15"/>
        <v>0</v>
      </c>
      <c r="T35" s="2">
        <f t="shared" si="16"/>
        <v>0</v>
      </c>
      <c r="U35" s="2">
        <f t="shared" si="17"/>
        <v>0</v>
      </c>
      <c r="V35" s="2"/>
      <c r="W35">
        <f t="shared" si="18"/>
        <v>4586</v>
      </c>
      <c r="X35">
        <f t="shared" si="19"/>
        <v>3846.2857142857142</v>
      </c>
      <c r="Y35">
        <f t="shared" si="20"/>
        <v>4270</v>
      </c>
    </row>
    <row r="36" spans="1:25" ht="15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 t="s">
        <v>34</v>
      </c>
      <c r="N36" s="2"/>
      <c r="O36" s="2"/>
      <c r="P36" s="2"/>
      <c r="Q36" s="2">
        <f>IF(F36&lt;=Costos!$B$2, G36, 0)</f>
        <v>0</v>
      </c>
      <c r="R36" s="2">
        <f t="shared" si="14"/>
        <v>0</v>
      </c>
      <c r="S36" s="2">
        <f t="shared" si="15"/>
        <v>0</v>
      </c>
      <c r="T36" s="2">
        <f t="shared" si="16"/>
        <v>0</v>
      </c>
      <c r="U36" s="2">
        <f t="shared" si="17"/>
        <v>0</v>
      </c>
      <c r="V36" s="2"/>
      <c r="W36">
        <f t="shared" si="18"/>
        <v>4586</v>
      </c>
      <c r="X36">
        <f t="shared" si="19"/>
        <v>3846.2857142857142</v>
      </c>
      <c r="Y36">
        <f t="shared" si="20"/>
        <v>4270</v>
      </c>
    </row>
    <row r="37" spans="1:25" ht="15.9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 t="s">
        <v>34</v>
      </c>
      <c r="N37" s="2"/>
      <c r="O37" s="2"/>
      <c r="P37" s="2"/>
      <c r="Q37" s="2">
        <f>IF(F37&lt;=Costos!$B$2, G37, 0)</f>
        <v>0</v>
      </c>
      <c r="R37" s="2">
        <f t="shared" si="14"/>
        <v>0</v>
      </c>
      <c r="S37" s="2">
        <f t="shared" si="15"/>
        <v>0</v>
      </c>
      <c r="T37" s="2">
        <f t="shared" si="16"/>
        <v>0</v>
      </c>
      <c r="U37" s="2">
        <f t="shared" si="17"/>
        <v>0</v>
      </c>
      <c r="V37" s="2"/>
      <c r="W37">
        <f t="shared" si="18"/>
        <v>4586</v>
      </c>
      <c r="X37">
        <f t="shared" si="19"/>
        <v>3846.2857142857142</v>
      </c>
      <c r="Y37">
        <f t="shared" si="20"/>
        <v>4270</v>
      </c>
    </row>
    <row r="38" spans="1:25" ht="15.9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 t="s">
        <v>34</v>
      </c>
      <c r="N38" s="2"/>
      <c r="O38" s="2"/>
      <c r="P38" s="2"/>
      <c r="Q38" s="2">
        <f>IF(F38&lt;=Costos!$B$2, G38, 0)</f>
        <v>0</v>
      </c>
      <c r="R38" s="2">
        <f t="shared" si="14"/>
        <v>0</v>
      </c>
      <c r="S38" s="2">
        <f t="shared" si="15"/>
        <v>0</v>
      </c>
      <c r="T38" s="2">
        <f t="shared" si="16"/>
        <v>0</v>
      </c>
      <c r="U38" s="2">
        <f t="shared" si="17"/>
        <v>0</v>
      </c>
      <c r="V38" s="2"/>
      <c r="W38">
        <f t="shared" si="18"/>
        <v>4586</v>
      </c>
      <c r="X38">
        <f t="shared" si="19"/>
        <v>3846.2857142857142</v>
      </c>
      <c r="Y38">
        <f t="shared" si="20"/>
        <v>4270</v>
      </c>
    </row>
    <row r="39" spans="1:25" ht="15.9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 t="s">
        <v>34</v>
      </c>
      <c r="N39" s="2"/>
      <c r="O39" s="2"/>
      <c r="P39" s="2"/>
      <c r="Q39" s="2">
        <f>IF(F39&lt;=Costos!$B$2, G39, 0)</f>
        <v>0</v>
      </c>
      <c r="R39" s="2">
        <f t="shared" si="14"/>
        <v>0</v>
      </c>
      <c r="S39" s="2">
        <f t="shared" si="15"/>
        <v>0</v>
      </c>
      <c r="T39" s="2">
        <f t="shared" si="16"/>
        <v>0</v>
      </c>
      <c r="U39" s="2">
        <f t="shared" si="17"/>
        <v>0</v>
      </c>
      <c r="V39" s="2"/>
      <c r="W39">
        <f t="shared" si="18"/>
        <v>4586</v>
      </c>
      <c r="X39">
        <f t="shared" si="19"/>
        <v>3846.2857142857142</v>
      </c>
      <c r="Y39">
        <f t="shared" si="20"/>
        <v>4270</v>
      </c>
    </row>
    <row r="40" spans="1:25" ht="15.9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 t="s">
        <v>34</v>
      </c>
      <c r="N40" s="2"/>
      <c r="O40" s="2"/>
      <c r="P40" s="2"/>
      <c r="Q40" s="2">
        <f>IF(F40&lt;=Costos!$B$2, G40, 0)</f>
        <v>0</v>
      </c>
      <c r="R40" s="2">
        <f t="shared" si="14"/>
        <v>0</v>
      </c>
      <c r="S40" s="2">
        <f t="shared" si="15"/>
        <v>0</v>
      </c>
      <c r="T40" s="2">
        <f t="shared" si="16"/>
        <v>0</v>
      </c>
      <c r="U40" s="2">
        <f t="shared" si="17"/>
        <v>0</v>
      </c>
      <c r="V40" s="2"/>
      <c r="W40">
        <f t="shared" si="18"/>
        <v>4586</v>
      </c>
      <c r="X40">
        <f t="shared" si="19"/>
        <v>3846.2857142857142</v>
      </c>
      <c r="Y40">
        <f t="shared" si="20"/>
        <v>4270</v>
      </c>
    </row>
  </sheetData>
  <conditionalFormatting sqref="M2:M40">
    <cfRule type="cellIs" dxfId="5" priority="1" operator="equal">
      <formula>"H"</formula>
    </cfRule>
    <cfRule type="cellIs" dxfId="4" priority="2" operator="equal">
      <formula>"EP"</formula>
    </cfRule>
    <cfRule type="cellIs" dxfId="3" priority="3" operator="equal">
      <formula>"NI"</formula>
    </cfRule>
  </conditionalFormatting>
  <dataValidations count="2">
    <dataValidation type="list" allowBlank="1" showInputMessage="1" showErrorMessage="1" sqref="L2:L40" xr:uid="{00000000-0002-0000-0000-000000000000}">
      <formula1>"0/100,50/50,20/80,Por checklist"</formula1>
    </dataValidation>
    <dataValidation type="list" allowBlank="1" showInputMessage="1" showErrorMessage="1" sqref="M2:M40" xr:uid="{00000000-0002-0000-0000-000001000000}">
      <formula1>"NI,EP,H"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3" sqref="B3"/>
    </sheetView>
  </sheetViews>
  <sheetFormatPr baseColWidth="10" defaultColWidth="8.85546875" defaultRowHeight="15" x14ac:dyDescent="0.25"/>
  <cols>
    <col min="1" max="1" width="28" customWidth="1"/>
    <col min="2" max="2" width="66.85546875" customWidth="1"/>
  </cols>
  <sheetData>
    <row r="1" spans="1:2" ht="15.95" customHeight="1" x14ac:dyDescent="0.25">
      <c r="A1" s="3" t="s">
        <v>35</v>
      </c>
      <c r="B1" s="3" t="s">
        <v>36</v>
      </c>
    </row>
    <row r="2" spans="1:2" ht="15.95" customHeight="1" x14ac:dyDescent="0.25">
      <c r="A2" s="2" t="s">
        <v>37</v>
      </c>
      <c r="B2" s="8">
        <v>45965</v>
      </c>
    </row>
    <row r="3" spans="1:2" ht="15.95" customHeight="1" x14ac:dyDescent="0.25">
      <c r="A3" s="2" t="s">
        <v>38</v>
      </c>
      <c r="B3" s="26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C3" sqref="C3"/>
    </sheetView>
  </sheetViews>
  <sheetFormatPr baseColWidth="10" defaultColWidth="8.85546875" defaultRowHeight="15" x14ac:dyDescent="0.25"/>
  <cols>
    <col min="1" max="1" width="28" customWidth="1"/>
    <col min="2" max="2" width="80" customWidth="1"/>
    <col min="3" max="3" width="24" customWidth="1"/>
  </cols>
  <sheetData>
    <row r="1" spans="1:3" ht="15.95" customHeight="1" x14ac:dyDescent="0.25">
      <c r="A1" s="1" t="s">
        <v>40</v>
      </c>
      <c r="B1" s="1" t="s">
        <v>41</v>
      </c>
      <c r="C1" s="1" t="s">
        <v>36</v>
      </c>
    </row>
    <row r="2" spans="1:3" ht="15.95" customHeight="1" x14ac:dyDescent="0.25">
      <c r="A2" s="4" t="s">
        <v>42</v>
      </c>
      <c r="B2" s="2" t="s">
        <v>43</v>
      </c>
      <c r="C2" s="2">
        <f>SUM(WBS!G2:G40)</f>
        <v>5822</v>
      </c>
    </row>
    <row r="3" spans="1:3" ht="15.95" customHeight="1" x14ac:dyDescent="0.25">
      <c r="A3" s="4" t="s">
        <v>44</v>
      </c>
      <c r="B3" s="2" t="s">
        <v>45</v>
      </c>
      <c r="C3" s="2">
        <f>SUM(WBS!Q2:Q40)</f>
        <v>4586</v>
      </c>
    </row>
    <row r="4" spans="1:3" ht="15.95" customHeight="1" x14ac:dyDescent="0.25">
      <c r="A4" s="4" t="s">
        <v>46</v>
      </c>
      <c r="B4" s="2" t="s">
        <v>47</v>
      </c>
      <c r="C4" s="2">
        <f>SUM(WBS!R2:R40)</f>
        <v>3846.2857142857142</v>
      </c>
    </row>
    <row r="5" spans="1:3" ht="15.95" customHeight="1" x14ac:dyDescent="0.25">
      <c r="A5" s="4" t="s">
        <v>48</v>
      </c>
      <c r="B5" s="2" t="s">
        <v>49</v>
      </c>
      <c r="C5" s="2">
        <f>SUM(WBS!S2:S40)</f>
        <v>4270</v>
      </c>
    </row>
    <row r="6" spans="1:3" ht="15.95" customHeight="1" x14ac:dyDescent="0.25">
      <c r="A6" s="4" t="s">
        <v>50</v>
      </c>
      <c r="B6" s="2" t="s">
        <v>51</v>
      </c>
      <c r="C6" s="2">
        <f>C4-C3</f>
        <v>-739.71428571428578</v>
      </c>
    </row>
    <row r="7" spans="1:3" ht="15.95" customHeight="1" x14ac:dyDescent="0.25">
      <c r="A7" s="4" t="s">
        <v>52</v>
      </c>
      <c r="B7" s="2" t="s">
        <v>53</v>
      </c>
      <c r="C7" s="2">
        <f>C4-C5</f>
        <v>-423.71428571428578</v>
      </c>
    </row>
    <row r="8" spans="1:3" ht="15.95" customHeight="1" x14ac:dyDescent="0.25">
      <c r="A8" s="4" t="s">
        <v>54</v>
      </c>
      <c r="B8" s="2" t="s">
        <v>55</v>
      </c>
      <c r="C8" s="2">
        <f>IF(C3&gt;0, C4/C3, 0)</f>
        <v>0.83870163852719459</v>
      </c>
    </row>
    <row r="9" spans="1:3" ht="15.95" customHeight="1" x14ac:dyDescent="0.25">
      <c r="A9" s="4" t="s">
        <v>56</v>
      </c>
      <c r="B9" s="2" t="s">
        <v>57</v>
      </c>
      <c r="C9" s="2">
        <f>IF(C5&gt;0, C4/C5, 0)</f>
        <v>0.90076948812311808</v>
      </c>
    </row>
    <row r="10" spans="1:3" ht="15.95" customHeight="1" x14ac:dyDescent="0.25">
      <c r="A10" s="4" t="s">
        <v>58</v>
      </c>
      <c r="B10" s="2" t="s">
        <v>59</v>
      </c>
      <c r="C10" s="2">
        <f>IF(C8&gt;0, C2/C8, 0)</f>
        <v>6941.681919477046</v>
      </c>
    </row>
    <row r="11" spans="1:3" ht="15.95" customHeight="1" x14ac:dyDescent="0.25">
      <c r="A11" s="4" t="s">
        <v>60</v>
      </c>
      <c r="B11" s="2" t="s">
        <v>61</v>
      </c>
      <c r="C11" s="2">
        <f>C9-C5</f>
        <v>-4269.0992305118771</v>
      </c>
    </row>
    <row r="13" spans="1:3" x14ac:dyDescent="0.25">
      <c r="A13" s="14" t="s">
        <v>62</v>
      </c>
      <c r="B13" s="15"/>
      <c r="C13" s="16"/>
    </row>
    <row r="14" spans="1:3" x14ac:dyDescent="0.25">
      <c r="A14" s="17" t="s">
        <v>63</v>
      </c>
      <c r="B14" s="18"/>
      <c r="C14" s="19"/>
    </row>
    <row r="15" spans="1:3" x14ac:dyDescent="0.25">
      <c r="A15" s="20"/>
      <c r="B15" s="21"/>
      <c r="C15" s="22"/>
    </row>
    <row r="16" spans="1:3" x14ac:dyDescent="0.25">
      <c r="A16" s="20"/>
      <c r="B16" s="21"/>
      <c r="C16" s="22"/>
    </row>
    <row r="17" spans="1:3" x14ac:dyDescent="0.25">
      <c r="A17" s="23"/>
      <c r="B17" s="24"/>
      <c r="C17" s="25"/>
    </row>
  </sheetData>
  <mergeCells count="2">
    <mergeCell ref="A13:C13"/>
    <mergeCell ref="A14:C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zoomScale="115" zoomScaleNormal="115" workbookViewId="0">
      <selection activeCell="E43" sqref="E43"/>
    </sheetView>
  </sheetViews>
  <sheetFormatPr baseColWidth="10" defaultColWidth="8.85546875" defaultRowHeight="15" x14ac:dyDescent="0.25"/>
  <cols>
    <col min="1" max="1" width="34" customWidth="1"/>
    <col min="2" max="2" width="14.7109375" customWidth="1"/>
  </cols>
  <sheetData>
    <row r="1" spans="1:3" x14ac:dyDescent="0.25">
      <c r="A1" s="7" t="s">
        <v>64</v>
      </c>
    </row>
    <row r="2" spans="1:3" ht="111.95" customHeight="1" x14ac:dyDescent="0.25">
      <c r="A2" s="5" t="s">
        <v>65</v>
      </c>
    </row>
    <row r="3" spans="1:3" x14ac:dyDescent="0.25">
      <c r="A3" t="s">
        <v>66</v>
      </c>
    </row>
    <row r="4" spans="1:3" x14ac:dyDescent="0.25">
      <c r="A4" t="s">
        <v>67</v>
      </c>
    </row>
    <row r="10" spans="1:3" x14ac:dyDescent="0.25">
      <c r="A10" t="s">
        <v>68</v>
      </c>
      <c r="B10" t="s">
        <v>68</v>
      </c>
      <c r="C10">
        <f>Métricas!C2</f>
        <v>5822</v>
      </c>
    </row>
    <row r="11" spans="1:3" x14ac:dyDescent="0.25">
      <c r="B11" t="s">
        <v>68</v>
      </c>
      <c r="C11">
        <f>Métricas!C2</f>
        <v>5822</v>
      </c>
    </row>
    <row r="12" spans="1:3" x14ac:dyDescent="0.25">
      <c r="B12" t="s">
        <v>68</v>
      </c>
      <c r="C12">
        <f>Métricas!C2</f>
        <v>5822</v>
      </c>
    </row>
    <row r="13" spans="1:3" x14ac:dyDescent="0.25">
      <c r="B13" t="s">
        <v>68</v>
      </c>
      <c r="C13">
        <f>Métricas!C2</f>
        <v>5822</v>
      </c>
    </row>
    <row r="14" spans="1:3" x14ac:dyDescent="0.25">
      <c r="B14" t="s">
        <v>68</v>
      </c>
      <c r="C14">
        <f>Métricas!C2</f>
        <v>5822</v>
      </c>
    </row>
    <row r="15" spans="1:3" x14ac:dyDescent="0.25">
      <c r="B15" t="s">
        <v>68</v>
      </c>
      <c r="C15">
        <f>Métricas!C2</f>
        <v>5822</v>
      </c>
    </row>
    <row r="16" spans="1:3" x14ac:dyDescent="0.25">
      <c r="B16" t="s">
        <v>68</v>
      </c>
      <c r="C16">
        <f>Métricas!C2</f>
        <v>5822</v>
      </c>
    </row>
    <row r="17" spans="2:3" x14ac:dyDescent="0.25">
      <c r="B17" t="s">
        <v>68</v>
      </c>
      <c r="C17">
        <f>Métricas!C2</f>
        <v>5822</v>
      </c>
    </row>
    <row r="18" spans="2:3" x14ac:dyDescent="0.25">
      <c r="B18" t="s">
        <v>68</v>
      </c>
      <c r="C18">
        <f>Métricas!C2</f>
        <v>5822</v>
      </c>
    </row>
    <row r="19" spans="2:3" x14ac:dyDescent="0.25">
      <c r="B19" t="s">
        <v>68</v>
      </c>
      <c r="C19">
        <f>Métricas!C2</f>
        <v>5822</v>
      </c>
    </row>
    <row r="20" spans="2:3" x14ac:dyDescent="0.25">
      <c r="B20" t="s">
        <v>68</v>
      </c>
      <c r="C20">
        <f>Métricas!C2</f>
        <v>5822</v>
      </c>
    </row>
    <row r="21" spans="2:3" x14ac:dyDescent="0.25">
      <c r="B21" t="s">
        <v>68</v>
      </c>
      <c r="C21">
        <f>Métricas!C2</f>
        <v>5822</v>
      </c>
    </row>
    <row r="22" spans="2:3" x14ac:dyDescent="0.25">
      <c r="B22" t="s">
        <v>68</v>
      </c>
      <c r="C22">
        <f>Métricas!C2</f>
        <v>5822</v>
      </c>
    </row>
    <row r="23" spans="2:3" x14ac:dyDescent="0.25">
      <c r="B23" t="s">
        <v>68</v>
      </c>
      <c r="C23">
        <f>Métricas!C2</f>
        <v>5822</v>
      </c>
    </row>
    <row r="24" spans="2:3" x14ac:dyDescent="0.25">
      <c r="B24" t="s">
        <v>68</v>
      </c>
      <c r="C24">
        <f>Métricas!C2</f>
        <v>5822</v>
      </c>
    </row>
    <row r="25" spans="2:3" x14ac:dyDescent="0.25">
      <c r="B25" t="s">
        <v>68</v>
      </c>
      <c r="C25">
        <f>Métricas!C2</f>
        <v>5822</v>
      </c>
    </row>
    <row r="26" spans="2:3" x14ac:dyDescent="0.25">
      <c r="B26" t="s">
        <v>68</v>
      </c>
      <c r="C26">
        <f>Métricas!C2</f>
        <v>5822</v>
      </c>
    </row>
    <row r="27" spans="2:3" x14ac:dyDescent="0.25">
      <c r="B27" t="s">
        <v>68</v>
      </c>
      <c r="C27">
        <f>Métricas!C2</f>
        <v>5822</v>
      </c>
    </row>
    <row r="28" spans="2:3" x14ac:dyDescent="0.25">
      <c r="B28" t="s">
        <v>68</v>
      </c>
      <c r="C28">
        <f>Métricas!C2</f>
        <v>5822</v>
      </c>
    </row>
    <row r="29" spans="2:3" x14ac:dyDescent="0.25">
      <c r="B29" t="s">
        <v>68</v>
      </c>
      <c r="C29">
        <f>Métricas!C2</f>
        <v>5822</v>
      </c>
    </row>
    <row r="30" spans="2:3" x14ac:dyDescent="0.25">
      <c r="B30" t="s">
        <v>68</v>
      </c>
      <c r="C30">
        <f>Métricas!C2</f>
        <v>5822</v>
      </c>
    </row>
    <row r="31" spans="2:3" x14ac:dyDescent="0.25">
      <c r="B31" t="s">
        <v>68</v>
      </c>
      <c r="C31">
        <f>Métricas!C2</f>
        <v>5822</v>
      </c>
    </row>
    <row r="32" spans="2:3" x14ac:dyDescent="0.25">
      <c r="B32" t="s">
        <v>68</v>
      </c>
      <c r="C32">
        <f>Métricas!C2</f>
        <v>5822</v>
      </c>
    </row>
    <row r="33" spans="2:3" x14ac:dyDescent="0.25">
      <c r="B33" t="s">
        <v>68</v>
      </c>
      <c r="C33">
        <f>Métricas!C2</f>
        <v>5822</v>
      </c>
    </row>
    <row r="34" spans="2:3" x14ac:dyDescent="0.25">
      <c r="B34" t="s">
        <v>68</v>
      </c>
      <c r="C34">
        <f>Métricas!C2</f>
        <v>5822</v>
      </c>
    </row>
    <row r="35" spans="2:3" x14ac:dyDescent="0.25">
      <c r="B35" t="s">
        <v>68</v>
      </c>
      <c r="C35">
        <f>Métricas!C2</f>
        <v>5822</v>
      </c>
    </row>
    <row r="36" spans="2:3" x14ac:dyDescent="0.25">
      <c r="B36" t="s">
        <v>68</v>
      </c>
      <c r="C36">
        <f>Métricas!C2</f>
        <v>5822</v>
      </c>
    </row>
    <row r="37" spans="2:3" x14ac:dyDescent="0.25">
      <c r="B37" t="s">
        <v>68</v>
      </c>
      <c r="C37">
        <f>Métricas!C2</f>
        <v>5822</v>
      </c>
    </row>
    <row r="38" spans="2:3" x14ac:dyDescent="0.25">
      <c r="B38" t="s">
        <v>68</v>
      </c>
      <c r="C38">
        <f>Métricas!C2</f>
        <v>5822</v>
      </c>
    </row>
    <row r="39" spans="2:3" x14ac:dyDescent="0.25">
      <c r="B39" t="s">
        <v>68</v>
      </c>
      <c r="C39">
        <f>Métricas!C2</f>
        <v>5822</v>
      </c>
    </row>
    <row r="40" spans="2:3" x14ac:dyDescent="0.25">
      <c r="B40" t="s">
        <v>68</v>
      </c>
      <c r="C40">
        <f>Métricas!C2</f>
        <v>5822</v>
      </c>
    </row>
    <row r="41" spans="2:3" x14ac:dyDescent="0.25">
      <c r="B41" t="s">
        <v>68</v>
      </c>
      <c r="C41">
        <f>Métricas!C2</f>
        <v>5822</v>
      </c>
    </row>
    <row r="42" spans="2:3" x14ac:dyDescent="0.25">
      <c r="B42" t="s">
        <v>68</v>
      </c>
      <c r="C42">
        <f>Métricas!C2</f>
        <v>5822</v>
      </c>
    </row>
    <row r="43" spans="2:3" x14ac:dyDescent="0.25">
      <c r="B43" t="s">
        <v>68</v>
      </c>
      <c r="C43">
        <f>Métricas!C2</f>
        <v>5822</v>
      </c>
    </row>
    <row r="44" spans="2:3" x14ac:dyDescent="0.25">
      <c r="B44" t="s">
        <v>68</v>
      </c>
      <c r="C44">
        <f>Métricas!C2</f>
        <v>5822</v>
      </c>
    </row>
    <row r="45" spans="2:3" x14ac:dyDescent="0.25">
      <c r="B45" t="s">
        <v>68</v>
      </c>
      <c r="C45">
        <f>Métricas!C2</f>
        <v>5822</v>
      </c>
    </row>
    <row r="46" spans="2:3" x14ac:dyDescent="0.25">
      <c r="B46" t="s">
        <v>68</v>
      </c>
      <c r="C46">
        <f>Métricas!C2</f>
        <v>5822</v>
      </c>
    </row>
    <row r="47" spans="2:3" x14ac:dyDescent="0.25">
      <c r="B47" t="s">
        <v>68</v>
      </c>
      <c r="C47">
        <f>Métricas!C2</f>
        <v>5822</v>
      </c>
    </row>
    <row r="48" spans="2:3" x14ac:dyDescent="0.25">
      <c r="B48" t="s">
        <v>68</v>
      </c>
      <c r="C48">
        <f>Métricas!C2</f>
        <v>5822</v>
      </c>
    </row>
    <row r="49" spans="2:3" x14ac:dyDescent="0.25">
      <c r="B49" t="s">
        <v>68</v>
      </c>
      <c r="C49">
        <f>Métricas!C2</f>
        <v>5822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I55"/>
  <sheetViews>
    <sheetView workbookViewId="0">
      <selection activeCell="B12" sqref="B12"/>
    </sheetView>
  </sheetViews>
  <sheetFormatPr baseColWidth="10" defaultColWidth="8.85546875" defaultRowHeight="15" x14ac:dyDescent="0.25"/>
  <cols>
    <col min="2" max="2" width="49.140625" customWidth="1"/>
    <col min="3" max="3" width="28.42578125" customWidth="1"/>
  </cols>
  <sheetData>
    <row r="1" spans="1:9" x14ac:dyDescent="0.25">
      <c r="A1" t="s">
        <v>69</v>
      </c>
    </row>
    <row r="2" spans="1:9" x14ac:dyDescent="0.25">
      <c r="A2" t="s">
        <v>70</v>
      </c>
    </row>
    <row r="4" spans="1:9" x14ac:dyDescent="0.25">
      <c r="A4" t="s">
        <v>71</v>
      </c>
    </row>
    <row r="5" spans="1:9" x14ac:dyDescent="0.25">
      <c r="A5" t="s">
        <v>42</v>
      </c>
      <c r="B5">
        <f>Métricas!C2</f>
        <v>5822</v>
      </c>
      <c r="D5" t="s">
        <v>72</v>
      </c>
    </row>
    <row r="6" spans="1:9" x14ac:dyDescent="0.25">
      <c r="A6" t="s">
        <v>44</v>
      </c>
      <c r="B6">
        <f>Métricas!C3</f>
        <v>4586</v>
      </c>
      <c r="D6" t="s">
        <v>73</v>
      </c>
    </row>
    <row r="7" spans="1:9" x14ac:dyDescent="0.25">
      <c r="A7" t="s">
        <v>46</v>
      </c>
      <c r="B7">
        <f>Métricas!C4</f>
        <v>3846.2857142857142</v>
      </c>
      <c r="D7" t="s">
        <v>74</v>
      </c>
    </row>
    <row r="8" spans="1:9" x14ac:dyDescent="0.25">
      <c r="A8" t="s">
        <v>48</v>
      </c>
      <c r="B8">
        <f>Métricas!C5</f>
        <v>4270</v>
      </c>
      <c r="D8" t="s">
        <v>75</v>
      </c>
    </row>
    <row r="9" spans="1:9" x14ac:dyDescent="0.25">
      <c r="A9" t="s">
        <v>76</v>
      </c>
      <c r="B9">
        <f>Métricas!C7</f>
        <v>-423.71428571428578</v>
      </c>
    </row>
    <row r="10" spans="1:9" x14ac:dyDescent="0.25">
      <c r="A10" t="s">
        <v>77</v>
      </c>
      <c r="B10">
        <f>Métricas!C8</f>
        <v>0.83870163852719459</v>
      </c>
    </row>
    <row r="11" spans="1:9" x14ac:dyDescent="0.25">
      <c r="A11" t="s">
        <v>78</v>
      </c>
      <c r="B11">
        <f>Métricas!C9</f>
        <v>0.90076948812311808</v>
      </c>
    </row>
    <row r="12" spans="1:9" x14ac:dyDescent="0.25">
      <c r="A12" t="s">
        <v>60</v>
      </c>
      <c r="B12">
        <f>Métricas!C10</f>
        <v>6941.681919477046</v>
      </c>
    </row>
    <row r="15" spans="1:9" x14ac:dyDescent="0.25">
      <c r="A15" t="s">
        <v>79</v>
      </c>
    </row>
    <row r="16" spans="1:9" x14ac:dyDescent="0.25">
      <c r="A16" t="s">
        <v>0</v>
      </c>
      <c r="B16" t="s">
        <v>80</v>
      </c>
      <c r="C16" t="s">
        <v>5</v>
      </c>
      <c r="D16" t="s">
        <v>81</v>
      </c>
      <c r="E16" t="s">
        <v>82</v>
      </c>
      <c r="F16" t="s">
        <v>83</v>
      </c>
      <c r="G16" t="s">
        <v>84</v>
      </c>
      <c r="H16" t="s">
        <v>85</v>
      </c>
      <c r="I16" t="s">
        <v>86</v>
      </c>
    </row>
    <row r="17" spans="1:9" x14ac:dyDescent="0.25">
      <c r="A17">
        <v>1</v>
      </c>
      <c r="B17" t="s">
        <v>129</v>
      </c>
      <c r="C17" s="9">
        <v>45964</v>
      </c>
      <c r="D17">
        <f>WBS!Q2</f>
        <v>400</v>
      </c>
      <c r="E17">
        <f>WBS!R2</f>
        <v>400</v>
      </c>
      <c r="F17">
        <f>WBS!S2</f>
        <v>360</v>
      </c>
      <c r="G17">
        <f t="shared" ref="G17:G55" si="0">E17-D17</f>
        <v>0</v>
      </c>
      <c r="H17">
        <f t="shared" ref="H17:H55" si="1">E17-F17</f>
        <v>40</v>
      </c>
      <c r="I17" t="s">
        <v>87</v>
      </c>
    </row>
    <row r="18" spans="1:9" x14ac:dyDescent="0.25">
      <c r="A18">
        <v>2</v>
      </c>
      <c r="B18" t="s">
        <v>112</v>
      </c>
      <c r="C18" s="9">
        <v>45966</v>
      </c>
      <c r="D18">
        <f>WBS!Q3</f>
        <v>0</v>
      </c>
      <c r="E18">
        <f>WBS!R3</f>
        <v>420</v>
      </c>
      <c r="F18">
        <f>WBS!S3</f>
        <v>378</v>
      </c>
      <c r="G18">
        <f t="shared" si="0"/>
        <v>420</v>
      </c>
      <c r="H18">
        <f t="shared" si="1"/>
        <v>42</v>
      </c>
      <c r="I18" t="s">
        <v>87</v>
      </c>
    </row>
    <row r="19" spans="1:9" x14ac:dyDescent="0.25">
      <c r="A19">
        <v>3</v>
      </c>
      <c r="B19" t="s">
        <v>113</v>
      </c>
      <c r="C19" s="9">
        <v>45967</v>
      </c>
      <c r="D19">
        <f>WBS!Q4</f>
        <v>0</v>
      </c>
      <c r="E19">
        <f>WBS!R4</f>
        <v>480</v>
      </c>
      <c r="F19">
        <f>WBS!S4</f>
        <v>480</v>
      </c>
      <c r="G19">
        <f t="shared" si="0"/>
        <v>480</v>
      </c>
      <c r="H19">
        <f t="shared" si="1"/>
        <v>0</v>
      </c>
      <c r="I19" t="s">
        <v>87</v>
      </c>
    </row>
    <row r="20" spans="1:9" x14ac:dyDescent="0.25">
      <c r="A20">
        <v>4</v>
      </c>
      <c r="B20" t="s">
        <v>114</v>
      </c>
      <c r="C20" s="9">
        <v>45966</v>
      </c>
      <c r="D20">
        <f>WBS!Q5</f>
        <v>560</v>
      </c>
      <c r="E20">
        <f>WBS!R5</f>
        <v>560</v>
      </c>
      <c r="F20">
        <f>WBS!S5</f>
        <v>600</v>
      </c>
      <c r="G20">
        <f t="shared" si="0"/>
        <v>0</v>
      </c>
      <c r="H20">
        <f t="shared" si="1"/>
        <v>-40</v>
      </c>
      <c r="I20" t="s">
        <v>87</v>
      </c>
    </row>
    <row r="21" spans="1:9" x14ac:dyDescent="0.25">
      <c r="A21">
        <v>5</v>
      </c>
      <c r="B21" t="s">
        <v>115</v>
      </c>
      <c r="C21" s="9">
        <v>45969</v>
      </c>
      <c r="D21">
        <f>WBS!Q6</f>
        <v>0</v>
      </c>
      <c r="E21">
        <f>WBS!R6</f>
        <v>336</v>
      </c>
      <c r="F21">
        <f>WBS!S6</f>
        <v>294</v>
      </c>
      <c r="G21">
        <f t="shared" si="0"/>
        <v>336</v>
      </c>
      <c r="H21">
        <f t="shared" si="1"/>
        <v>42</v>
      </c>
      <c r="I21" t="s">
        <v>87</v>
      </c>
    </row>
    <row r="22" spans="1:9" x14ac:dyDescent="0.25">
      <c r="A22">
        <v>6</v>
      </c>
      <c r="B22" t="s">
        <v>116</v>
      </c>
      <c r="C22" s="9">
        <v>45960</v>
      </c>
      <c r="D22">
        <f>WBS!Q7</f>
        <v>336</v>
      </c>
      <c r="E22">
        <f>WBS!R7</f>
        <v>336</v>
      </c>
      <c r="F22">
        <f>WBS!S7</f>
        <v>378</v>
      </c>
      <c r="G22">
        <f t="shared" si="0"/>
        <v>0</v>
      </c>
      <c r="H22">
        <f t="shared" si="1"/>
        <v>-42</v>
      </c>
      <c r="I22" t="s">
        <v>87</v>
      </c>
    </row>
    <row r="23" spans="1:9" x14ac:dyDescent="0.25">
      <c r="A23">
        <v>7</v>
      </c>
      <c r="B23" t="s">
        <v>117</v>
      </c>
      <c r="C23" s="9">
        <v>45961</v>
      </c>
      <c r="D23">
        <f>WBS!Q8</f>
        <v>640</v>
      </c>
      <c r="E23">
        <f>WBS!R8</f>
        <v>914.28571428571433</v>
      </c>
      <c r="F23">
        <f>WBS!S8</f>
        <v>530</v>
      </c>
      <c r="G23">
        <f t="shared" si="0"/>
        <v>274.28571428571433</v>
      </c>
      <c r="H23">
        <f t="shared" si="1"/>
        <v>384.28571428571433</v>
      </c>
      <c r="I23" t="s">
        <v>87</v>
      </c>
    </row>
    <row r="24" spans="1:9" x14ac:dyDescent="0.25">
      <c r="A24">
        <v>8</v>
      </c>
      <c r="B24" t="s">
        <v>118</v>
      </c>
      <c r="C24" s="9">
        <v>45964</v>
      </c>
      <c r="D24">
        <f>WBS!Q9</f>
        <v>160</v>
      </c>
      <c r="E24">
        <f>WBS!R9</f>
        <v>160</v>
      </c>
      <c r="F24">
        <f>WBS!S9</f>
        <v>200</v>
      </c>
      <c r="G24">
        <f t="shared" si="0"/>
        <v>0</v>
      </c>
      <c r="H24">
        <f t="shared" si="1"/>
        <v>-40</v>
      </c>
      <c r="I24" t="s">
        <v>87</v>
      </c>
    </row>
    <row r="25" spans="1:9" x14ac:dyDescent="0.25">
      <c r="A25">
        <v>9</v>
      </c>
      <c r="B25" t="s">
        <v>119</v>
      </c>
      <c r="C25" s="9">
        <v>45964</v>
      </c>
      <c r="D25">
        <f>WBS!Q10</f>
        <v>720</v>
      </c>
      <c r="E25">
        <f>WBS!R10</f>
        <v>144</v>
      </c>
      <c r="F25">
        <f>WBS!S10</f>
        <v>360</v>
      </c>
      <c r="G25">
        <f t="shared" si="0"/>
        <v>-576</v>
      </c>
      <c r="H25">
        <f t="shared" si="1"/>
        <v>-216</v>
      </c>
      <c r="I25" t="s">
        <v>87</v>
      </c>
    </row>
    <row r="26" spans="1:9" x14ac:dyDescent="0.25">
      <c r="A26">
        <v>10</v>
      </c>
      <c r="B26" t="s">
        <v>120</v>
      </c>
      <c r="C26" s="9">
        <v>45962</v>
      </c>
      <c r="D26">
        <f>WBS!Q11</f>
        <v>810</v>
      </c>
      <c r="E26">
        <f>WBS!R11</f>
        <v>0</v>
      </c>
      <c r="F26">
        <f>WBS!S11</f>
        <v>450</v>
      </c>
      <c r="G26">
        <f t="shared" si="0"/>
        <v>-810</v>
      </c>
      <c r="H26">
        <f t="shared" si="1"/>
        <v>-450</v>
      </c>
      <c r="I26" t="s">
        <v>87</v>
      </c>
    </row>
    <row r="27" spans="1:9" x14ac:dyDescent="0.25">
      <c r="A27">
        <v>11</v>
      </c>
      <c r="B27" t="s">
        <v>121</v>
      </c>
      <c r="C27" s="9">
        <v>45964</v>
      </c>
      <c r="D27">
        <f>WBS!Q12</f>
        <v>480</v>
      </c>
      <c r="E27">
        <f>WBS!R12</f>
        <v>96</v>
      </c>
      <c r="F27">
        <f>WBS!S12</f>
        <v>240</v>
      </c>
      <c r="G27">
        <f t="shared" si="0"/>
        <v>-384</v>
      </c>
      <c r="H27">
        <f t="shared" si="1"/>
        <v>-144</v>
      </c>
      <c r="I27" t="s">
        <v>87</v>
      </c>
    </row>
    <row r="28" spans="1:9" x14ac:dyDescent="0.25">
      <c r="A28">
        <v>12</v>
      </c>
      <c r="B28" t="s">
        <v>122</v>
      </c>
      <c r="C28" s="9">
        <v>45964</v>
      </c>
      <c r="D28">
        <f>WBS!Q13</f>
        <v>240</v>
      </c>
      <c r="E28">
        <f>WBS!R13</f>
        <v>0</v>
      </c>
      <c r="F28">
        <f>WBS!S13</f>
        <v>0</v>
      </c>
      <c r="G28">
        <f t="shared" si="0"/>
        <v>-240</v>
      </c>
      <c r="H28">
        <f t="shared" si="1"/>
        <v>0</v>
      </c>
      <c r="I28" t="s">
        <v>87</v>
      </c>
    </row>
    <row r="29" spans="1:9" x14ac:dyDescent="0.25">
      <c r="A29">
        <v>13</v>
      </c>
      <c r="B29" t="s">
        <v>123</v>
      </c>
      <c r="C29" s="9">
        <v>45964</v>
      </c>
      <c r="D29">
        <f>WBS!Q14</f>
        <v>240</v>
      </c>
      <c r="E29">
        <f>WBS!R14</f>
        <v>0</v>
      </c>
      <c r="F29">
        <f>WBS!S14</f>
        <v>0</v>
      </c>
      <c r="G29">
        <f t="shared" ref="G29" si="2">E29-D29</f>
        <v>-240</v>
      </c>
      <c r="H29">
        <f t="shared" ref="H29" si="3">E29-F29</f>
        <v>0</v>
      </c>
      <c r="I29" t="s">
        <v>87</v>
      </c>
    </row>
    <row r="30" spans="1:9" x14ac:dyDescent="0.25">
      <c r="D30">
        <f>WBS!Q15</f>
        <v>0</v>
      </c>
      <c r="E30">
        <f>WBS!R15</f>
        <v>0</v>
      </c>
      <c r="F30">
        <f>WBS!S15</f>
        <v>0</v>
      </c>
      <c r="G30">
        <f t="shared" si="0"/>
        <v>0</v>
      </c>
      <c r="H30">
        <f t="shared" si="1"/>
        <v>0</v>
      </c>
      <c r="I30" t="s">
        <v>87</v>
      </c>
    </row>
    <row r="31" spans="1:9" x14ac:dyDescent="0.25">
      <c r="D31">
        <f>WBS!Q16</f>
        <v>0</v>
      </c>
      <c r="E31">
        <f>WBS!R16</f>
        <v>0</v>
      </c>
      <c r="F31">
        <f>WBS!S16</f>
        <v>0</v>
      </c>
      <c r="G31">
        <f t="shared" si="0"/>
        <v>0</v>
      </c>
      <c r="H31">
        <f t="shared" si="1"/>
        <v>0</v>
      </c>
      <c r="I31" t="s">
        <v>87</v>
      </c>
    </row>
    <row r="32" spans="1:9" x14ac:dyDescent="0.25">
      <c r="D32">
        <f>WBS!Q17</f>
        <v>0</v>
      </c>
      <c r="E32">
        <f>WBS!R17</f>
        <v>0</v>
      </c>
      <c r="F32">
        <f>WBS!S17</f>
        <v>0</v>
      </c>
      <c r="G32">
        <f t="shared" si="0"/>
        <v>0</v>
      </c>
      <c r="H32">
        <f t="shared" si="1"/>
        <v>0</v>
      </c>
      <c r="I32" t="s">
        <v>87</v>
      </c>
    </row>
    <row r="33" spans="4:9" x14ac:dyDescent="0.25">
      <c r="D33">
        <f>WBS!Q18</f>
        <v>0</v>
      </c>
      <c r="E33">
        <f>WBS!R18</f>
        <v>0</v>
      </c>
      <c r="F33">
        <f>WBS!S18</f>
        <v>0</v>
      </c>
      <c r="G33">
        <f t="shared" si="0"/>
        <v>0</v>
      </c>
      <c r="H33">
        <f t="shared" si="1"/>
        <v>0</v>
      </c>
      <c r="I33" t="s">
        <v>87</v>
      </c>
    </row>
    <row r="34" spans="4:9" x14ac:dyDescent="0.25">
      <c r="D34">
        <f>WBS!Q19</f>
        <v>0</v>
      </c>
      <c r="E34">
        <f>WBS!R19</f>
        <v>0</v>
      </c>
      <c r="F34">
        <f>WBS!S19</f>
        <v>0</v>
      </c>
      <c r="G34">
        <f t="shared" si="0"/>
        <v>0</v>
      </c>
      <c r="H34">
        <f t="shared" si="1"/>
        <v>0</v>
      </c>
      <c r="I34" t="s">
        <v>87</v>
      </c>
    </row>
    <row r="35" spans="4:9" x14ac:dyDescent="0.25">
      <c r="D35">
        <f>WBS!Q20</f>
        <v>0</v>
      </c>
      <c r="E35">
        <f>WBS!R20</f>
        <v>0</v>
      </c>
      <c r="F35">
        <f>WBS!S20</f>
        <v>0</v>
      </c>
      <c r="G35">
        <f t="shared" si="0"/>
        <v>0</v>
      </c>
      <c r="H35">
        <f t="shared" si="1"/>
        <v>0</v>
      </c>
      <c r="I35" t="s">
        <v>87</v>
      </c>
    </row>
    <row r="36" spans="4:9" x14ac:dyDescent="0.25">
      <c r="D36">
        <f>WBS!Q21</f>
        <v>0</v>
      </c>
      <c r="E36">
        <f>WBS!R21</f>
        <v>0</v>
      </c>
      <c r="F36">
        <f>WBS!S21</f>
        <v>0</v>
      </c>
      <c r="G36">
        <f t="shared" si="0"/>
        <v>0</v>
      </c>
      <c r="H36">
        <f t="shared" si="1"/>
        <v>0</v>
      </c>
      <c r="I36" t="s">
        <v>87</v>
      </c>
    </row>
    <row r="37" spans="4:9" x14ac:dyDescent="0.25">
      <c r="D37">
        <f>WBS!Q22</f>
        <v>0</v>
      </c>
      <c r="E37">
        <f>WBS!R22</f>
        <v>0</v>
      </c>
      <c r="F37">
        <f>WBS!S22</f>
        <v>0</v>
      </c>
      <c r="G37">
        <f t="shared" si="0"/>
        <v>0</v>
      </c>
      <c r="H37">
        <f t="shared" si="1"/>
        <v>0</v>
      </c>
      <c r="I37" t="s">
        <v>87</v>
      </c>
    </row>
    <row r="38" spans="4:9" x14ac:dyDescent="0.25">
      <c r="D38">
        <f>WBS!Q23</f>
        <v>0</v>
      </c>
      <c r="E38">
        <f>WBS!R23</f>
        <v>0</v>
      </c>
      <c r="F38">
        <f>WBS!S23</f>
        <v>0</v>
      </c>
      <c r="G38">
        <f t="shared" si="0"/>
        <v>0</v>
      </c>
      <c r="H38">
        <f t="shared" si="1"/>
        <v>0</v>
      </c>
      <c r="I38" t="s">
        <v>87</v>
      </c>
    </row>
    <row r="39" spans="4:9" x14ac:dyDescent="0.25">
      <c r="D39">
        <f>WBS!Q24</f>
        <v>0</v>
      </c>
      <c r="E39">
        <f>WBS!R24</f>
        <v>0</v>
      </c>
      <c r="F39">
        <f>WBS!S24</f>
        <v>0</v>
      </c>
      <c r="G39">
        <f t="shared" si="0"/>
        <v>0</v>
      </c>
      <c r="H39">
        <f t="shared" si="1"/>
        <v>0</v>
      </c>
      <c r="I39" t="s">
        <v>87</v>
      </c>
    </row>
    <row r="40" spans="4:9" x14ac:dyDescent="0.25">
      <c r="D40">
        <f>WBS!Q25</f>
        <v>0</v>
      </c>
      <c r="E40">
        <f>WBS!R25</f>
        <v>0</v>
      </c>
      <c r="F40">
        <f>WBS!S25</f>
        <v>0</v>
      </c>
      <c r="G40">
        <f t="shared" si="0"/>
        <v>0</v>
      </c>
      <c r="H40">
        <f t="shared" si="1"/>
        <v>0</v>
      </c>
      <c r="I40" t="s">
        <v>87</v>
      </c>
    </row>
    <row r="41" spans="4:9" x14ac:dyDescent="0.25">
      <c r="D41">
        <f>WBS!Q26</f>
        <v>0</v>
      </c>
      <c r="E41">
        <f>WBS!R26</f>
        <v>0</v>
      </c>
      <c r="F41">
        <f>WBS!S26</f>
        <v>0</v>
      </c>
      <c r="G41">
        <f t="shared" si="0"/>
        <v>0</v>
      </c>
      <c r="H41">
        <f t="shared" si="1"/>
        <v>0</v>
      </c>
      <c r="I41" t="s">
        <v>87</v>
      </c>
    </row>
    <row r="42" spans="4:9" x14ac:dyDescent="0.25">
      <c r="D42">
        <f>WBS!Q27</f>
        <v>0</v>
      </c>
      <c r="E42">
        <f>WBS!R27</f>
        <v>0</v>
      </c>
      <c r="F42">
        <f>WBS!S27</f>
        <v>0</v>
      </c>
      <c r="G42">
        <f t="shared" si="0"/>
        <v>0</v>
      </c>
      <c r="H42">
        <f t="shared" si="1"/>
        <v>0</v>
      </c>
      <c r="I42" t="s">
        <v>87</v>
      </c>
    </row>
    <row r="43" spans="4:9" x14ac:dyDescent="0.25">
      <c r="D43">
        <f>WBS!Q28</f>
        <v>0</v>
      </c>
      <c r="E43">
        <f>WBS!R28</f>
        <v>0</v>
      </c>
      <c r="F43">
        <f>WBS!S28</f>
        <v>0</v>
      </c>
      <c r="G43">
        <f t="shared" si="0"/>
        <v>0</v>
      </c>
      <c r="H43">
        <f t="shared" si="1"/>
        <v>0</v>
      </c>
      <c r="I43" t="s">
        <v>87</v>
      </c>
    </row>
    <row r="44" spans="4:9" x14ac:dyDescent="0.25">
      <c r="D44">
        <f>WBS!Q29</f>
        <v>0</v>
      </c>
      <c r="E44">
        <f>WBS!R29</f>
        <v>0</v>
      </c>
      <c r="F44">
        <f>WBS!S29</f>
        <v>0</v>
      </c>
      <c r="G44">
        <f t="shared" si="0"/>
        <v>0</v>
      </c>
      <c r="H44">
        <f t="shared" si="1"/>
        <v>0</v>
      </c>
      <c r="I44" t="s">
        <v>87</v>
      </c>
    </row>
    <row r="45" spans="4:9" x14ac:dyDescent="0.25">
      <c r="D45">
        <f>WBS!Q30</f>
        <v>0</v>
      </c>
      <c r="E45">
        <f>WBS!R30</f>
        <v>0</v>
      </c>
      <c r="F45">
        <f>WBS!S30</f>
        <v>0</v>
      </c>
      <c r="G45">
        <f t="shared" si="0"/>
        <v>0</v>
      </c>
      <c r="H45">
        <f t="shared" si="1"/>
        <v>0</v>
      </c>
      <c r="I45" t="s">
        <v>87</v>
      </c>
    </row>
    <row r="46" spans="4:9" x14ac:dyDescent="0.25">
      <c r="D46">
        <f>WBS!Q31</f>
        <v>0</v>
      </c>
      <c r="E46">
        <f>WBS!R31</f>
        <v>0</v>
      </c>
      <c r="F46">
        <f>WBS!S31</f>
        <v>0</v>
      </c>
      <c r="G46">
        <f t="shared" si="0"/>
        <v>0</v>
      </c>
      <c r="H46">
        <f t="shared" si="1"/>
        <v>0</v>
      </c>
      <c r="I46" t="s">
        <v>87</v>
      </c>
    </row>
    <row r="47" spans="4:9" x14ac:dyDescent="0.25">
      <c r="D47">
        <f>WBS!Q32</f>
        <v>0</v>
      </c>
      <c r="E47">
        <f>WBS!R32</f>
        <v>0</v>
      </c>
      <c r="F47">
        <f>WBS!S32</f>
        <v>0</v>
      </c>
      <c r="G47">
        <f t="shared" si="0"/>
        <v>0</v>
      </c>
      <c r="H47">
        <f t="shared" si="1"/>
        <v>0</v>
      </c>
      <c r="I47" t="s">
        <v>87</v>
      </c>
    </row>
    <row r="48" spans="4:9" x14ac:dyDescent="0.25">
      <c r="D48">
        <f>WBS!Q33</f>
        <v>0</v>
      </c>
      <c r="E48">
        <f>WBS!R33</f>
        <v>0</v>
      </c>
      <c r="F48">
        <f>WBS!S33</f>
        <v>0</v>
      </c>
      <c r="G48">
        <f t="shared" si="0"/>
        <v>0</v>
      </c>
      <c r="H48">
        <f t="shared" si="1"/>
        <v>0</v>
      </c>
      <c r="I48" t="s">
        <v>87</v>
      </c>
    </row>
    <row r="49" spans="4:9" x14ac:dyDescent="0.25">
      <c r="D49">
        <f>WBS!Q34</f>
        <v>0</v>
      </c>
      <c r="E49">
        <f>WBS!R34</f>
        <v>0</v>
      </c>
      <c r="F49">
        <f>WBS!S34</f>
        <v>0</v>
      </c>
      <c r="G49">
        <f t="shared" si="0"/>
        <v>0</v>
      </c>
      <c r="H49">
        <f t="shared" si="1"/>
        <v>0</v>
      </c>
      <c r="I49" t="s">
        <v>87</v>
      </c>
    </row>
    <row r="50" spans="4:9" x14ac:dyDescent="0.25">
      <c r="D50">
        <f>WBS!Q35</f>
        <v>0</v>
      </c>
      <c r="E50">
        <f>WBS!R35</f>
        <v>0</v>
      </c>
      <c r="F50">
        <f>WBS!S35</f>
        <v>0</v>
      </c>
      <c r="G50">
        <f t="shared" si="0"/>
        <v>0</v>
      </c>
      <c r="H50">
        <f t="shared" si="1"/>
        <v>0</v>
      </c>
      <c r="I50" t="s">
        <v>87</v>
      </c>
    </row>
    <row r="51" spans="4:9" x14ac:dyDescent="0.25">
      <c r="D51">
        <f>WBS!Q36</f>
        <v>0</v>
      </c>
      <c r="E51">
        <f>WBS!R36</f>
        <v>0</v>
      </c>
      <c r="F51">
        <f>WBS!S36</f>
        <v>0</v>
      </c>
      <c r="G51">
        <f t="shared" si="0"/>
        <v>0</v>
      </c>
      <c r="H51">
        <f t="shared" si="1"/>
        <v>0</v>
      </c>
      <c r="I51" t="s">
        <v>87</v>
      </c>
    </row>
    <row r="52" spans="4:9" x14ac:dyDescent="0.25">
      <c r="D52">
        <f>WBS!Q37</f>
        <v>0</v>
      </c>
      <c r="E52">
        <f>WBS!R37</f>
        <v>0</v>
      </c>
      <c r="F52">
        <f>WBS!S37</f>
        <v>0</v>
      </c>
      <c r="G52">
        <f t="shared" si="0"/>
        <v>0</v>
      </c>
      <c r="H52">
        <f t="shared" si="1"/>
        <v>0</v>
      </c>
      <c r="I52" t="s">
        <v>87</v>
      </c>
    </row>
    <row r="53" spans="4:9" x14ac:dyDescent="0.25">
      <c r="D53">
        <f>WBS!Q38</f>
        <v>0</v>
      </c>
      <c r="E53">
        <f>WBS!R38</f>
        <v>0</v>
      </c>
      <c r="F53">
        <f>WBS!S38</f>
        <v>0</v>
      </c>
      <c r="G53">
        <f t="shared" si="0"/>
        <v>0</v>
      </c>
      <c r="H53">
        <f t="shared" si="1"/>
        <v>0</v>
      </c>
      <c r="I53" t="s">
        <v>87</v>
      </c>
    </row>
    <row r="54" spans="4:9" x14ac:dyDescent="0.25">
      <c r="D54">
        <f>WBS!Q39</f>
        <v>0</v>
      </c>
      <c r="E54">
        <f>WBS!R39</f>
        <v>0</v>
      </c>
      <c r="F54">
        <f>WBS!S39</f>
        <v>0</v>
      </c>
      <c r="G54">
        <f t="shared" si="0"/>
        <v>0</v>
      </c>
      <c r="H54">
        <f t="shared" si="1"/>
        <v>0</v>
      </c>
      <c r="I54" t="s">
        <v>87</v>
      </c>
    </row>
    <row r="55" spans="4:9" x14ac:dyDescent="0.25">
      <c r="D55">
        <f>WBS!Q40</f>
        <v>0</v>
      </c>
      <c r="E55">
        <f>WBS!R40</f>
        <v>0</v>
      </c>
      <c r="F55">
        <f>WBS!S40</f>
        <v>0</v>
      </c>
      <c r="G55">
        <f t="shared" si="0"/>
        <v>0</v>
      </c>
      <c r="H55">
        <f t="shared" si="1"/>
        <v>0</v>
      </c>
      <c r="I55" t="s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83A5-1215-4C4C-ACFB-478AE7E4D739}">
  <dimension ref="B3:B36"/>
  <sheetViews>
    <sheetView topLeftCell="A28" workbookViewId="0">
      <selection activeCell="B10" sqref="B10"/>
    </sheetView>
  </sheetViews>
  <sheetFormatPr baseColWidth="10" defaultRowHeight="15" x14ac:dyDescent="0.25"/>
  <sheetData>
    <row r="3" spans="2:2" ht="31.5" x14ac:dyDescent="0.5">
      <c r="B3" s="12" t="s">
        <v>88</v>
      </c>
    </row>
    <row r="5" spans="2:2" x14ac:dyDescent="0.25">
      <c r="B5" s="13" t="s">
        <v>89</v>
      </c>
    </row>
    <row r="6" spans="2:2" x14ac:dyDescent="0.25">
      <c r="B6" s="13" t="s">
        <v>90</v>
      </c>
    </row>
    <row r="7" spans="2:2" x14ac:dyDescent="0.25">
      <c r="B7" s="13" t="s">
        <v>91</v>
      </c>
    </row>
    <row r="9" spans="2:2" x14ac:dyDescent="0.25">
      <c r="B9" s="13" t="s">
        <v>105</v>
      </c>
    </row>
    <row r="10" spans="2:2" x14ac:dyDescent="0.25">
      <c r="B10" s="13" t="s">
        <v>92</v>
      </c>
    </row>
    <row r="11" spans="2:2" x14ac:dyDescent="0.25">
      <c r="B11" s="13" t="s">
        <v>93</v>
      </c>
    </row>
    <row r="12" spans="2:2" x14ac:dyDescent="0.25">
      <c r="B12" s="13" t="s">
        <v>94</v>
      </c>
    </row>
    <row r="14" spans="2:2" x14ac:dyDescent="0.25">
      <c r="B14" s="13" t="s">
        <v>106</v>
      </c>
    </row>
    <row r="18" spans="2:2" ht="31.5" x14ac:dyDescent="0.5">
      <c r="B18" s="12" t="s">
        <v>95</v>
      </c>
    </row>
    <row r="20" spans="2:2" x14ac:dyDescent="0.25">
      <c r="B20" s="13" t="s">
        <v>96</v>
      </c>
    </row>
    <row r="21" spans="2:2" x14ac:dyDescent="0.25">
      <c r="B21" s="13" t="s">
        <v>97</v>
      </c>
    </row>
    <row r="22" spans="2:2" x14ac:dyDescent="0.25">
      <c r="B22" s="13" t="s">
        <v>98</v>
      </c>
    </row>
    <row r="24" spans="2:2" x14ac:dyDescent="0.25">
      <c r="B24" s="13" t="s">
        <v>107</v>
      </c>
    </row>
    <row r="25" spans="2:2" x14ac:dyDescent="0.25">
      <c r="B25" s="13" t="s">
        <v>99</v>
      </c>
    </row>
    <row r="26" spans="2:2" x14ac:dyDescent="0.25">
      <c r="B26" s="13" t="s">
        <v>100</v>
      </c>
    </row>
    <row r="27" spans="2:2" x14ac:dyDescent="0.25">
      <c r="B27" s="13" t="s">
        <v>101</v>
      </c>
    </row>
    <row r="28" spans="2:2" x14ac:dyDescent="0.25">
      <c r="B28" s="13" t="s">
        <v>108</v>
      </c>
    </row>
    <row r="32" spans="2:2" ht="31.5" x14ac:dyDescent="0.5">
      <c r="B32" s="12" t="s">
        <v>109</v>
      </c>
    </row>
    <row r="34" spans="2:2" x14ac:dyDescent="0.25">
      <c r="B34" s="13" t="s">
        <v>102</v>
      </c>
    </row>
    <row r="35" spans="2:2" x14ac:dyDescent="0.25">
      <c r="B35" s="13" t="s">
        <v>103</v>
      </c>
    </row>
    <row r="36" spans="2:2" x14ac:dyDescent="0.25">
      <c r="B36" s="1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WBS</vt:lpstr>
      <vt:lpstr>Costos</vt:lpstr>
      <vt:lpstr>Métricas</vt:lpstr>
      <vt:lpstr>Gráficos</vt:lpstr>
      <vt:lpstr>WBS (solución)</vt:lpstr>
      <vt:lpstr>Interpretacion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2025-11-04T04:25:22Z</dcterms:created>
  <dcterms:modified xsi:type="dcterms:W3CDTF">2025-11-09T20:23:16Z</dcterms:modified>
</cp:coreProperties>
</file>