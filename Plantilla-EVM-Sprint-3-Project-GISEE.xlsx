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Costos" sheetId="2" r:id="rId5"/>
    <sheet state="visible" name="Métricas" sheetId="3" r:id="rId6"/>
    <sheet state="visible" name="Gráficos" sheetId="4" r:id="rId7"/>
    <sheet state="visible" name="WBS (solución)" sheetId="5" r:id="rId8"/>
    <sheet state="visible" name="Interpretacion" sheetId="6" r:id="rId9"/>
  </sheets>
  <definedNames>
    <definedName hidden="1" localSheetId="0" name="Z_C5561BCD_8E27_474D_80B0_A3E629766774_.wvu.FilterData">WBS!$A$1:$Y$13</definedName>
  </definedNames>
  <calcPr/>
  <customWorkbookViews>
    <customWorkbookView activeSheetId="0" maximized="1" windowHeight="0" windowWidth="0" guid="{C5561BCD-8E27-474D-80B0-A3E629766774}" name="Tabla1 filter view"/>
  </customWorkbookViews>
  <extLst>
    <ext uri="GoogleSheetsCustomDataVersion2">
      <go:sheetsCustomData xmlns:go="http://customooxmlschemas.google.com/" r:id="rId10" roundtripDataChecksum="8qjT3fhx/+l1Qz51+K7iHPoWteISERZ0e2rDzRjFWpQ="/>
    </ext>
  </extLst>
</workbook>
</file>

<file path=xl/sharedStrings.xml><?xml version="1.0" encoding="utf-8"?>
<sst xmlns="http://schemas.openxmlformats.org/spreadsheetml/2006/main" count="307" uniqueCount="139">
  <si>
    <t>ID</t>
  </si>
  <si>
    <t>Entregable / Historia</t>
  </si>
  <si>
    <t>Tipo (feature/bug/tech)</t>
  </si>
  <si>
    <t>Responsable</t>
  </si>
  <si>
    <t>Inicio plan</t>
  </si>
  <si>
    <t>Fin plan</t>
  </si>
  <si>
    <t>BAC (presupuesto $)</t>
  </si>
  <si>
    <t>Costo hora ($)</t>
  </si>
  <si>
    <t>Horas plan</t>
  </si>
  <si>
    <t>Horas reales</t>
  </si>
  <si>
    <t>Otros costos reales ($)</t>
  </si>
  <si>
    <t>Regla de ganancia (EV)</t>
  </si>
  <si>
    <t>Estado (NI/EP/H)</t>
  </si>
  <si>
    <t>% completado (0-100)</t>
  </si>
  <si>
    <t>DoD: ítems totales</t>
  </si>
  <si>
    <t>DoD: ítems ok</t>
  </si>
  <si>
    <t>PV al corte ($)</t>
  </si>
  <si>
    <t>EV ($)</t>
  </si>
  <si>
    <t>AC ($)</t>
  </si>
  <si>
    <t>SV ($)</t>
  </si>
  <si>
    <t>CV ($)</t>
  </si>
  <si>
    <t>Notas</t>
  </si>
  <si>
    <t>PV acumulado</t>
  </si>
  <si>
    <t>EV acumulado</t>
  </si>
  <si>
    <t>AC acumulado</t>
  </si>
  <si>
    <t xml:space="preserve"> Evaluar precisión y relevancia de las respuestas RAG</t>
  </si>
  <si>
    <t>feature</t>
  </si>
  <si>
    <t>Alex García Castañeda</t>
  </si>
  <si>
    <t>50/50</t>
  </si>
  <si>
    <t>H</t>
  </si>
  <si>
    <t>Diseñar estructura de memoria contextual</t>
  </si>
  <si>
    <t>tech</t>
  </si>
  <si>
    <t>Consultar historial conversacional por usuario y fecha</t>
  </si>
  <si>
    <t>Crear endpoints REST para gestión de usuarios</t>
  </si>
  <si>
    <t>Juan Manuel Arango Rodas</t>
  </si>
  <si>
    <t>Por checklist</t>
  </si>
  <si>
    <t>Implementación de capa de acceso a datos (DAO / Repository)</t>
  </si>
  <si>
    <t>Tina María Torres Tascón</t>
  </si>
  <si>
    <t>Generación y gestión de embeddings</t>
  </si>
  <si>
    <t>Configuración del entorno local con Docker</t>
  </si>
  <si>
    <t>Definición de arquitectura lógica y técnica</t>
  </si>
  <si>
    <t>bug</t>
  </si>
  <si>
    <t>0/100</t>
  </si>
  <si>
    <t>Diseño del modelo de datos relacional y vectorial</t>
  </si>
  <si>
    <t>Stiven Henao Aricapa</t>
  </si>
  <si>
    <t>20/80</t>
  </si>
  <si>
    <t>Configurar conexión con el modelo Gemini</t>
  </si>
  <si>
    <t>Víctor Manuel Hernández Ortíz</t>
  </si>
  <si>
    <t>Diseño del pipeline de conversación</t>
  </si>
  <si>
    <t xml:space="preserve"> Implementar RAG básico con artículos psicológicos</t>
  </si>
  <si>
    <t>Juan Sebastían Gómez Agudelo</t>
  </si>
  <si>
    <t>Memoria contextual integrada al flujo conversacional + RAG</t>
  </si>
  <si>
    <t>Frontend de gestión de usuarios</t>
  </si>
  <si>
    <t>EP</t>
  </si>
  <si>
    <t>Exportación de reportes PDF del historial conversacional</t>
  </si>
  <si>
    <t>Sebastián Gómez Agudelo</t>
  </si>
  <si>
    <t>Pruebas iniciales de conexión con hardware</t>
  </si>
  <si>
    <t>Mejorar fluidez y velocidad de conversación</t>
  </si>
  <si>
    <t>Seguridad básica: cifrado y protección de datos</t>
  </si>
  <si>
    <t>Manuel Gómez</t>
  </si>
  <si>
    <t>Integración final con hardware (Micrófono y Voz)</t>
  </si>
  <si>
    <t>Pruebas finales + documentación entregable</t>
  </si>
  <si>
    <t>NI</t>
  </si>
  <si>
    <t>Parámetro</t>
  </si>
  <si>
    <t>Valor</t>
  </si>
  <si>
    <t>Fecha de corte (reporte)</t>
  </si>
  <si>
    <t>Observaciones</t>
  </si>
  <si>
    <t>Ajusta la fecha de corte para que PV se calcule con base en Fin plan.</t>
  </si>
  <si>
    <t>Indicador</t>
  </si>
  <si>
    <t>Descripción</t>
  </si>
  <si>
    <t>BAC total ($)</t>
  </si>
  <si>
    <t>Suma presupuestada de todos los entregables (Budget At Completion).</t>
  </si>
  <si>
    <t>PV total al corte ($)</t>
  </si>
  <si>
    <t>Valor planeado acumulado hasta la fecha de corte (sumatoria de BAC de tareas con Fin plan &lt;= corte).</t>
  </si>
  <si>
    <t>EV total ($)</t>
  </si>
  <si>
    <t>Valor ganado a la fecha de corte según reglas de ganancia y DoD.</t>
  </si>
  <si>
    <t>AC total ($)</t>
  </si>
  <si>
    <t>Costo real incurrido a la fecha de corte (horas reales * costo + otros).</t>
  </si>
  <si>
    <t>SV ($) = EV - PV</t>
  </si>
  <si>
    <t>Varianza de cronograma; &gt;0 adelanto, &lt;0 atraso.</t>
  </si>
  <si>
    <t>CV ($) = EV - AC</t>
  </si>
  <si>
    <t>Varianza de costos; &gt;0 ahorro, &lt;0 sobrecosto.</t>
  </si>
  <si>
    <t>SPI = EV / PV</t>
  </si>
  <si>
    <t>Índice de desempeño de cronograma; 1.0 es on-track.</t>
  </si>
  <si>
    <t>CPI = EV / AC</t>
  </si>
  <si>
    <t>Índice de desempeño de costos; 1.0 es on-budget.</t>
  </si>
  <si>
    <t>EAC = BAC / CPI</t>
  </si>
  <si>
    <t>Estimado al completar; proyección de costo final.</t>
  </si>
  <si>
    <t>ETC = EAC - AC</t>
  </si>
  <si>
    <t>Costo por incurrir restante.</t>
  </si>
  <si>
    <t>Notas rápidas</t>
  </si>
  <si>
    <t>• Actualiza 'Fecha de corte' en Costos!B2.
• Llena WBS con: BAC, fechas, regla de ganancia, DoD, horas reales y otros costos.
• Estado: NI = No iniciado, EP = En progreso, H = Hecho.
• Regla 'Por checklist' usa DoD: ítems ok / ítems totales.
• Los indicadores se calculan automáticamente.</t>
  </si>
  <si>
    <t>Gráficos automáticos</t>
  </si>
  <si>
    <t>Rango de datos detectado: 2..40</t>
  </si>
  <si>
    <t>Curva S (PV/EV/AC acumulados)</t>
  </si>
  <si>
    <t>Burnup (EV acumulado vs PV acumulado + BAC)</t>
  </si>
  <si>
    <t>Alcance (BAC)</t>
  </si>
  <si>
    <t>Interpretación del sprint (EV, PV, AC, índices y acciones)</t>
  </si>
  <si>
    <t>Fecha de corte: 2025-11-28 00:00:00</t>
  </si>
  <si>
    <t>Resumen de indicadores (desde Métricas)</t>
  </si>
  <si>
    <t>Guía rápida</t>
  </si>
  <si>
    <t>SPI ~1 OK; &lt;1 atraso.</t>
  </si>
  <si>
    <t>CPI ~1 OK; &lt;1 sobrecosto.</t>
  </si>
  <si>
    <t>EAC alto sugiere revisar alcance/tiempos.</t>
  </si>
  <si>
    <t>SPI = EV/PV</t>
  </si>
  <si>
    <t>CPI = EV/AC</t>
  </si>
  <si>
    <t>EAC = BAC/CPI</t>
  </si>
  <si>
    <t>Ítems con atraso o sobrecosto</t>
  </si>
  <si>
    <t>Entregable</t>
  </si>
  <si>
    <t>PV</t>
  </si>
  <si>
    <t>EV</t>
  </si>
  <si>
    <t>AC</t>
  </si>
  <si>
    <t>SV (EV-PV)</t>
  </si>
  <si>
    <t>CV (EV-AC)</t>
  </si>
  <si>
    <t>Acción sugerida</t>
  </si>
  <si>
    <t>No se identifican ítems en atraso ni en sobrecosto; el desempeño del sprint es conforme al plan</t>
  </si>
  <si>
    <t>Si SV&lt;0: dividir en sub-tareas o reasignar; Si CV&lt;0: limitar horas, revisar tarifa o scope.</t>
  </si>
  <si>
    <t>curva S (PV vs EV vs AC)</t>
  </si>
  <si>
    <r>
      <rPr>
        <rFont val="Calibri"/>
        <b/>
        <color rgb="FF000000"/>
        <sz val="11.0"/>
      </rPr>
      <t>PV (azul):</t>
    </r>
    <r>
      <rPr>
        <rFont val="Calibri"/>
        <b val="0"/>
        <color rgb="FF000000"/>
        <sz val="11.0"/>
      </rPr>
      <t> lo que </t>
    </r>
    <r>
      <rPr>
        <rFont val="Calibri"/>
        <b/>
        <color rgb="FF000000"/>
        <sz val="11.0"/>
      </rPr>
      <t>deberíamos</t>
    </r>
    <r>
      <rPr>
        <rFont val="Calibri"/>
        <b val="0"/>
        <color rgb="FF000000"/>
        <sz val="11.0"/>
      </rPr>
      <t> llevar según el </t>
    </r>
    <r>
      <rPr>
        <rFont val="Calibri"/>
        <b/>
        <color rgb="FF000000"/>
        <sz val="11.0"/>
      </rPr>
      <t>plan</t>
    </r>
    <r>
      <rPr>
        <rFont val="Calibri"/>
        <b val="0"/>
        <color rgb="FF000000"/>
        <sz val="11.0"/>
      </rPr>
      <t>.</t>
    </r>
  </si>
  <si>
    <r>
      <rPr>
        <rFont val="Calibri"/>
        <b/>
        <color rgb="FF000000"/>
        <sz val="11.0"/>
      </rPr>
      <t>EV (rojo):</t>
    </r>
    <r>
      <rPr>
        <rFont val="Calibri"/>
        <b val="0"/>
        <color rgb="FF000000"/>
        <sz val="11.0"/>
      </rPr>
      <t> lo que </t>
    </r>
    <r>
      <rPr>
        <rFont val="Calibri"/>
        <b/>
        <color rgb="FF000000"/>
        <sz val="11.0"/>
      </rPr>
      <t>realmente logramos</t>
    </r>
    <r>
      <rPr>
        <rFont val="Calibri"/>
        <b val="0"/>
        <color rgb="FF000000"/>
        <sz val="11.0"/>
      </rPr>
      <t> (valor ganado).</t>
    </r>
  </si>
  <si>
    <r>
      <rPr>
        <rFont val="Calibri"/>
        <b/>
        <color rgb="FF000000"/>
        <sz val="11.0"/>
      </rPr>
      <t>AC (verde):</t>
    </r>
    <r>
      <rPr>
        <rFont val="Calibri"/>
        <b val="0"/>
        <color rgb="FF000000"/>
        <sz val="11.0"/>
      </rPr>
      <t> lo que </t>
    </r>
    <r>
      <rPr>
        <rFont val="Calibri"/>
        <b/>
        <color rgb="FF000000"/>
        <sz val="11.0"/>
      </rPr>
      <t>realmente gastamos</t>
    </r>
    <r>
      <rPr>
        <rFont val="Calibri"/>
        <b val="0"/>
        <color rgb="FF000000"/>
        <sz val="11.0"/>
      </rPr>
      <t> (costo).</t>
    </r>
  </si>
  <si>
    <t>Intepretacion</t>
  </si>
  <si>
    <r>
      <rPr>
        <rFont val="Calibri"/>
        <b/>
        <color rgb="FF000000"/>
        <sz val="11.0"/>
      </rPr>
      <t>EV vs PV:</t>
    </r>
    <r>
      <rPr>
        <rFont val="Calibri"/>
        <b val="0"/>
        <color rgb="FF000000"/>
        <sz val="11.0"/>
      </rPr>
      <t> si </t>
    </r>
    <r>
      <rPr>
        <rFont val="Calibri"/>
        <b/>
        <color rgb="FF000000"/>
        <sz val="11.0"/>
      </rPr>
      <t>EV</t>
    </r>
    <r>
      <rPr>
        <rFont val="Calibri"/>
        <b val="0"/>
        <color rgb="FF000000"/>
        <sz val="11.0"/>
      </rPr>
      <t> va </t>
    </r>
    <r>
      <rPr>
        <rFont val="Calibri"/>
        <b/>
        <color rgb="FF000000"/>
        <sz val="11.0"/>
      </rPr>
      <t>debajo</t>
    </r>
    <r>
      <rPr>
        <rFont val="Calibri"/>
        <b val="0"/>
        <color rgb="FF000000"/>
        <sz val="11.0"/>
      </rPr>
      <t> de </t>
    </r>
    <r>
      <rPr>
        <rFont val="Calibri"/>
        <b/>
        <color rgb="FF000000"/>
        <sz val="11.0"/>
      </rPr>
      <t>PV</t>
    </r>
    <r>
      <rPr>
        <rFont val="Calibri"/>
        <b val="0"/>
        <color rgb="FF000000"/>
        <sz val="11.0"/>
      </rPr>
      <t>, vamos </t>
    </r>
    <r>
      <rPr>
        <rFont val="Calibri"/>
        <b/>
        <color rgb="FF000000"/>
        <sz val="11.0"/>
      </rPr>
      <t>atrasados</t>
    </r>
    <r>
      <rPr>
        <rFont val="Calibri"/>
        <b val="0"/>
        <color rgb="FF000000"/>
        <sz val="11.0"/>
      </rPr>
      <t>; si </t>
    </r>
    <r>
      <rPr>
        <rFont val="Calibri"/>
        <b/>
        <color rgb="FF000000"/>
        <sz val="11.0"/>
      </rPr>
      <t>EV</t>
    </r>
    <r>
      <rPr>
        <rFont val="Calibri"/>
        <b val="0"/>
        <color rgb="FF000000"/>
        <sz val="11.0"/>
      </rPr>
      <t> alcanza o supera </t>
    </r>
    <r>
      <rPr>
        <rFont val="Calibri"/>
        <b/>
        <color rgb="FF000000"/>
        <sz val="11.0"/>
      </rPr>
      <t>PV</t>
    </r>
    <r>
      <rPr>
        <rFont val="Calibri"/>
        <b val="0"/>
        <color rgb="FF000000"/>
        <sz val="11.0"/>
      </rPr>
      <t>, vamos </t>
    </r>
    <r>
      <rPr>
        <rFont val="Calibri"/>
        <b/>
        <color rgb="FF000000"/>
        <sz val="11.0"/>
      </rPr>
      <t>al día o adelantados</t>
    </r>
    <r>
      <rPr>
        <rFont val="Calibri"/>
        <b val="0"/>
        <color rgb="FF000000"/>
        <sz val="11.0"/>
      </rPr>
      <t>.</t>
    </r>
  </si>
  <si>
    <r>
      <rPr>
        <rFont val="Calibri"/>
        <b/>
        <color rgb="FF000000"/>
        <sz val="11.0"/>
      </rPr>
      <t>EV vs AC:</t>
    </r>
    <r>
      <rPr>
        <rFont val="Calibri"/>
        <b val="0"/>
        <color rgb="FF000000"/>
        <sz val="11.0"/>
      </rPr>
      <t> si </t>
    </r>
    <r>
      <rPr>
        <rFont val="Calibri"/>
        <b/>
        <color rgb="FF000000"/>
        <sz val="11.0"/>
      </rPr>
      <t>EV</t>
    </r>
    <r>
      <rPr>
        <rFont val="Calibri"/>
        <b val="0"/>
        <color rgb="FF000000"/>
        <sz val="11.0"/>
      </rPr>
      <t> va </t>
    </r>
    <r>
      <rPr>
        <rFont val="Calibri"/>
        <b/>
        <color rgb="FF000000"/>
        <sz val="11.0"/>
      </rPr>
      <t>debajo</t>
    </r>
    <r>
      <rPr>
        <rFont val="Calibri"/>
        <b val="0"/>
        <color rgb="FF000000"/>
        <sz val="11.0"/>
      </rPr>
      <t> de </t>
    </r>
    <r>
      <rPr>
        <rFont val="Calibri"/>
        <b/>
        <color rgb="FF000000"/>
        <sz val="11.0"/>
      </rPr>
      <t>AC</t>
    </r>
    <r>
      <rPr>
        <rFont val="Calibri"/>
        <b val="0"/>
        <color rgb="FF000000"/>
        <sz val="11.0"/>
      </rPr>
      <t>, estamos </t>
    </r>
    <r>
      <rPr>
        <rFont val="Calibri"/>
        <b/>
        <color rgb="FF000000"/>
        <sz val="11.0"/>
      </rPr>
      <t>gastando más de lo que estamos logrando</t>
    </r>
    <r>
      <rPr>
        <rFont val="Calibri"/>
        <b val="0"/>
        <color rgb="FF000000"/>
        <sz val="11.0"/>
      </rPr>
      <t> (riesgo de sobrecosto).</t>
    </r>
  </si>
  <si>
    <r>
      <rPr>
        <rFont val="Calibri"/>
        <b/>
        <color rgb="FF000000"/>
        <sz val="11.0"/>
      </rPr>
      <t>Pendientes:</t>
    </r>
    <r>
      <rPr>
        <rFont val="Calibri"/>
        <b val="0"/>
        <color rgb="FF000000"/>
        <sz val="11.0"/>
      </rPr>
      <t> subidas grandes = cerramos varias tareas; tramos planos = nos frenamos.</t>
    </r>
  </si>
  <si>
    <r>
      <rPr>
        <rFont val="Calibri"/>
        <b/>
        <color rgb="FF000000"/>
        <sz val="11.0"/>
      </rPr>
      <t>Qué dice la gráfica:</t>
    </r>
    <r>
      <rPr>
        <rFont val="Calibri"/>
        <b val="0"/>
        <color rgb="FF000000"/>
        <sz val="11.0"/>
      </rPr>
      <t> al final se ve </t>
    </r>
    <r>
      <rPr>
        <rFont val="Calibri"/>
        <b/>
        <color rgb="FF000000"/>
        <sz val="11.0"/>
      </rPr>
      <t>PV &gt; AC &gt; EV</t>
    </r>
    <r>
      <rPr>
        <rFont val="Calibri"/>
        <b val="0"/>
        <color rgb="FF000000"/>
        <sz val="11.0"/>
      </rPr>
      <t> ⇒ </t>
    </r>
    <r>
      <rPr>
        <rFont val="Calibri"/>
        <b/>
        <color rgb="FF000000"/>
        <sz val="11.0"/>
      </rPr>
      <t>atraso</t>
    </r>
    <r>
      <rPr>
        <rFont val="Calibri"/>
        <b val="0"/>
        <color rgb="FF000000"/>
        <sz val="11.0"/>
      </rPr>
      <t> (EV &lt; PV) y </t>
    </r>
    <r>
      <rPr>
        <rFont val="Calibri"/>
        <b/>
        <color rgb="FF000000"/>
        <sz val="11.0"/>
      </rPr>
      <t>gasto algo alto</t>
    </r>
    <r>
      <rPr>
        <rFont val="Calibri"/>
        <b val="0"/>
        <color rgb="FF000000"/>
        <sz val="11.0"/>
      </rPr>
      <t> para lo que hemos logrado (EV &lt; AC).</t>
    </r>
  </si>
  <si>
    <t>burnup (EV vs PV + BAC)</t>
  </si>
  <si>
    <r>
      <rPr>
        <rFont val="Calibri"/>
        <b/>
        <color rgb="FF000000"/>
        <sz val="11.0"/>
      </rPr>
      <t>EV (azul)</t>
    </r>
    <r>
      <rPr>
        <rFont val="Calibri"/>
        <b val="0"/>
        <color rgb="FF000000"/>
        <sz val="11.0"/>
      </rPr>
      <t> subiendo con el trabajo real.</t>
    </r>
  </si>
  <si>
    <r>
      <rPr>
        <rFont val="Calibri"/>
        <b/>
        <color rgb="FF000000"/>
        <sz val="11.0"/>
      </rPr>
      <t>PV (rojo)</t>
    </r>
    <r>
      <rPr>
        <rFont val="Calibri"/>
        <b val="0"/>
        <color rgb="FF000000"/>
        <sz val="11.0"/>
      </rPr>
      <t> mostrando el ritmo </t>
    </r>
    <r>
      <rPr>
        <rFont val="Calibri"/>
        <b/>
        <color rgb="FF000000"/>
        <sz val="11.0"/>
      </rPr>
      <t>planeado</t>
    </r>
    <r>
      <rPr>
        <rFont val="Calibri"/>
        <b val="0"/>
        <color rgb="FF000000"/>
        <sz val="11.0"/>
      </rPr>
      <t>.</t>
    </r>
  </si>
  <si>
    <r>
      <rPr>
        <rFont val="Calibri"/>
        <b/>
        <color rgb="FF000000"/>
        <sz val="11.0"/>
      </rPr>
      <t>BAC (verde, horizontal):</t>
    </r>
    <r>
      <rPr>
        <rFont val="Calibri"/>
        <b val="0"/>
        <color rgb="FF000000"/>
        <sz val="11.0"/>
      </rPr>
      <t> el </t>
    </r>
    <r>
      <rPr>
        <rFont val="Calibri"/>
        <b/>
        <color rgb="FF000000"/>
        <sz val="11.0"/>
      </rPr>
      <t>alcance total</t>
    </r>
    <r>
      <rPr>
        <rFont val="Calibri"/>
        <b val="0"/>
        <color rgb="FF000000"/>
        <sz val="11.0"/>
      </rPr>
      <t> del sprint (meta final).</t>
    </r>
  </si>
  <si>
    <t>Interpretacion</t>
  </si>
  <si>
    <r>
      <rPr>
        <rFont val="Calibri"/>
        <b/>
        <color rgb="FF000000"/>
        <sz val="11.0"/>
      </rPr>
      <t>EV vs PV:</t>
    </r>
    <r>
      <rPr>
        <rFont val="Calibri"/>
        <b val="0"/>
        <color rgb="FF000000"/>
        <sz val="11.0"/>
      </rPr>
      <t> si </t>
    </r>
    <r>
      <rPr>
        <rFont val="Calibri"/>
        <b/>
        <color rgb="FF000000"/>
        <sz val="11.0"/>
      </rPr>
      <t>EV</t>
    </r>
    <r>
      <rPr>
        <rFont val="Calibri"/>
        <b val="0"/>
        <color rgb="FF000000"/>
        <sz val="11.0"/>
      </rPr>
      <t> queda </t>
    </r>
    <r>
      <rPr>
        <rFont val="Calibri"/>
        <b/>
        <color rgb="FF000000"/>
        <sz val="11.0"/>
      </rPr>
      <t>debajo</t>
    </r>
    <r>
      <rPr>
        <rFont val="Calibri"/>
        <b val="0"/>
        <color rgb="FF000000"/>
        <sz val="11.0"/>
      </rPr>
      <t> de </t>
    </r>
    <r>
      <rPr>
        <rFont val="Calibri"/>
        <b/>
        <color rgb="FF000000"/>
        <sz val="11.0"/>
      </rPr>
      <t>PV</t>
    </r>
    <r>
      <rPr>
        <rFont val="Calibri"/>
        <b val="0"/>
        <color rgb="FF000000"/>
        <sz val="11.0"/>
      </rPr>
      <t>, vamos </t>
    </r>
    <r>
      <rPr>
        <rFont val="Calibri"/>
        <b/>
        <color rgb="FF000000"/>
        <sz val="11.0"/>
      </rPr>
      <t>más lentos de lo planeado</t>
    </r>
    <r>
      <rPr>
        <rFont val="Calibri"/>
        <b val="0"/>
        <color rgb="FF000000"/>
        <sz val="11.0"/>
      </rPr>
      <t>.</t>
    </r>
  </si>
  <si>
    <r>
      <rPr>
        <rFont val="Calibri"/>
        <b/>
        <color rgb="FF000000"/>
        <sz val="11.0"/>
      </rPr>
      <t>EV vs BAC:</t>
    </r>
    <r>
      <rPr>
        <rFont val="Calibri"/>
        <b val="0"/>
        <color rgb="FF000000"/>
        <sz val="11.0"/>
      </rPr>
      <t> cuando </t>
    </r>
    <r>
      <rPr>
        <rFont val="Calibri"/>
        <b/>
        <color rgb="FF000000"/>
        <sz val="11.0"/>
      </rPr>
      <t>EV</t>
    </r>
    <r>
      <rPr>
        <rFont val="Calibri"/>
        <b val="0"/>
        <color rgb="FF000000"/>
        <sz val="11.0"/>
      </rPr>
      <t> llega a la línea </t>
    </r>
    <r>
      <rPr>
        <rFont val="Calibri"/>
        <b/>
        <color rgb="FF000000"/>
        <sz val="11.0"/>
      </rPr>
      <t>BAC</t>
    </r>
    <r>
      <rPr>
        <rFont val="Calibri"/>
        <b val="0"/>
        <color rgb="FF000000"/>
        <sz val="11.0"/>
      </rPr>
      <t>, </t>
    </r>
    <r>
      <rPr>
        <rFont val="Calibri"/>
        <b/>
        <color rgb="FF000000"/>
        <sz val="11.0"/>
      </rPr>
      <t>se cumplió todo el alcance</t>
    </r>
    <r>
      <rPr>
        <rFont val="Calibri"/>
        <b val="0"/>
        <color rgb="FF000000"/>
        <sz val="11.0"/>
      </rPr>
      <t>.</t>
    </r>
  </si>
  <si>
    <r>
      <rPr>
        <rFont val="Calibri"/>
        <b/>
        <color rgb="FF000000"/>
        <sz val="11.0"/>
      </rPr>
      <t>Forma de la curva:</t>
    </r>
    <r>
      <rPr>
        <rFont val="Calibri"/>
        <b val="0"/>
        <color rgb="FF000000"/>
        <sz val="11.0"/>
      </rPr>
      <t> subidas suaves y constantes = entregas frecuentes; “saltos” = se acumularon cierres.</t>
    </r>
  </si>
  <si>
    <r>
      <rPr>
        <rFont val="Calibri"/>
        <b/>
        <color rgb="FF000000"/>
        <sz val="11.0"/>
      </rPr>
      <t>Qué te dice gráfica del ejemplo:</t>
    </r>
    <r>
      <rPr>
        <rFont val="Calibri"/>
        <b val="0"/>
        <color rgb="FF000000"/>
        <sz val="11.0"/>
      </rPr>
      <t> </t>
    </r>
    <r>
      <rPr>
        <rFont val="Calibri"/>
        <b/>
        <color rgb="FF000000"/>
        <sz val="11.0"/>
      </rPr>
      <t>EV</t>
    </r>
    <r>
      <rPr>
        <rFont val="Calibri"/>
        <b val="0"/>
        <color rgb="FF000000"/>
        <sz val="11.0"/>
      </rPr>
      <t> no alcanzó </t>
    </r>
    <r>
      <rPr>
        <rFont val="Calibri"/>
        <b/>
        <color rgb="FF000000"/>
        <sz val="11.0"/>
      </rPr>
      <t>PV</t>
    </r>
    <r>
      <rPr>
        <rFont val="Calibri"/>
        <b val="0"/>
        <color rgb="FF000000"/>
        <sz val="11.0"/>
      </rPr>
      <t> ni la línea </t>
    </r>
    <r>
      <rPr>
        <rFont val="Calibri"/>
        <b/>
        <color rgb="FF000000"/>
        <sz val="11.0"/>
      </rPr>
      <t>BAC</t>
    </r>
    <r>
      <rPr>
        <rFont val="Calibri"/>
        <b val="0"/>
        <color rgb="FF000000"/>
        <sz val="11.0"/>
      </rPr>
      <t> ⇒ </t>
    </r>
    <r>
      <rPr>
        <rFont val="Calibri"/>
        <b/>
        <color rgb="FF000000"/>
        <sz val="11.0"/>
      </rPr>
      <t>no se completó</t>
    </r>
    <r>
      <rPr>
        <rFont val="Calibri"/>
        <b val="0"/>
        <color rgb="FF000000"/>
        <sz val="11.0"/>
      </rPr>
      <t> el alcance del sprint al corte.</t>
    </r>
  </si>
  <si>
    <t>qué hacer</t>
  </si>
  <si>
    <r>
      <rPr>
        <rFont val="Calibri"/>
        <b/>
        <color rgb="FF000000"/>
        <sz val="11.0"/>
      </rPr>
      <t>Atraso (EV &lt; PV):</t>
    </r>
    <r>
      <rPr>
        <rFont val="Calibri"/>
        <b val="0"/>
        <color rgb="FF000000"/>
        <sz val="11.0"/>
      </rPr>
      <t> partir tareas grandes, cerrar más seguido, mover gente al camino crítico.</t>
    </r>
  </si>
  <si>
    <r>
      <rPr>
        <rFont val="Calibri"/>
        <b/>
        <color rgb="FF000000"/>
        <sz val="11.0"/>
      </rPr>
      <t>Sobre costo (EV &lt; AC):</t>
    </r>
    <r>
      <rPr>
        <rFont val="Calibri"/>
        <b val="0"/>
        <color rgb="FF000000"/>
        <sz val="11.0"/>
      </rPr>
      <t> limitar horas, bajar WIP, revisar estimaciones y DoD para que el gasto se convierta en “EV”.</t>
    </r>
  </si>
  <si>
    <r>
      <rPr>
        <rFont val="Calibri"/>
        <b/>
        <color rgb="FF000000"/>
        <sz val="11.0"/>
      </rPr>
      <t>Para el próximo sprint:</t>
    </r>
    <r>
      <rPr>
        <rFont val="Calibri"/>
        <b val="0"/>
        <color rgb="FF000000"/>
        <sz val="11.0"/>
      </rPr>
      <t> planear entregas </t>
    </r>
    <r>
      <rPr>
        <rFont val="Calibri"/>
        <b/>
        <color rgb="FF000000"/>
        <sz val="11.0"/>
      </rPr>
      <t>pequeñas y frecuentes</t>
    </r>
    <r>
      <rPr>
        <rFont val="Calibri"/>
        <b val="0"/>
        <color rgb="FF000000"/>
        <sz val="11.0"/>
      </rPr>
      <t> para que </t>
    </r>
    <r>
      <rPr>
        <rFont val="Calibri"/>
        <b/>
        <color rgb="FF000000"/>
        <sz val="11.0"/>
      </rPr>
      <t>EV</t>
    </r>
    <r>
      <rPr>
        <rFont val="Calibri"/>
        <b val="0"/>
        <color rgb="FF000000"/>
        <sz val="11.0"/>
      </rPr>
      <t> suba parejo y se acerque a </t>
    </r>
    <r>
      <rPr>
        <rFont val="Calibri"/>
        <b/>
        <color rgb="FF000000"/>
        <sz val="11.0"/>
      </rPr>
      <t>PV</t>
    </r>
    <r>
      <rPr>
        <rFont val="Calibri"/>
        <b val="0"/>
        <color rgb="FF000000"/>
        <sz val="11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</si>
</sst>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-yyyy"/>
    <numFmt numFmtId="165" formatCode="dd-mm-yyyy"/>
    <numFmt numFmtId="166" formatCode="yyyy\-mm\-dd"/>
    <numFmt numFmtId="167" formatCode="yyyy\-mm\-dd\ h:mm:ss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Arial"/>
    </font>
    <font/>
    <font>
      <b/>
      <sz val="24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E2F0D9"/>
        <bgColor rgb="FFE2F0D9"/>
      </patternFill>
    </fill>
  </fills>
  <borders count="15">
    <border/>
    <border>
      <left/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ill="1" applyFont="1">
      <alignment horizontal="center" readingOrder="0" shrinkToFit="0" vertical="center" wrapText="0"/>
    </xf>
    <xf borderId="4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vertical="center" wrapText="0"/>
    </xf>
    <xf borderId="4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2" fillId="0" fontId="2" numFmtId="0" xfId="0" applyAlignment="1" applyBorder="1" applyFont="1">
      <alignment shrinkToFit="0" wrapText="1"/>
    </xf>
    <xf borderId="0" fillId="0" fontId="4" numFmtId="0" xfId="0" applyFont="1"/>
    <xf borderId="4" fillId="0" fontId="2" numFmtId="0" xfId="0" applyAlignment="1" applyBorder="1" applyFont="1">
      <alignment readingOrder="0" shrinkToFit="0" wrapText="1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2" fillId="2" fontId="1" numFmtId="0" xfId="0" applyAlignment="1" applyBorder="1" applyFont="1">
      <alignment shrinkToFit="0" wrapText="1"/>
    </xf>
    <xf borderId="2" fillId="0" fontId="2" numFmtId="166" xfId="0" applyAlignment="1" applyBorder="1" applyFont="1" applyNumberFormat="1">
      <alignment readingOrder="0" shrinkToFit="0" wrapText="1"/>
    </xf>
    <xf borderId="2" fillId="2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6" numFmtId="0" xfId="0" applyBorder="1" applyFont="1"/>
    <xf borderId="4" fillId="0" fontId="6" numFmtId="0" xfId="0" applyBorder="1" applyFont="1"/>
    <xf borderId="7" fillId="0" fontId="2" numFmtId="0" xfId="0" applyAlignment="1" applyBorder="1" applyFont="1">
      <alignment shrinkToFit="0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2" numFmtId="167" xfId="0" applyFont="1" applyNumberForma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7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>
    <tableStyle count="4" pivot="0" name="WBS-style">
      <tableStyleElement dxfId="4" type="headerRow"/>
      <tableStyleElement dxfId="5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Curva S — PV vs EV vs AC (acumulado)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 acumulado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WBS!$F$2:$F$22</c:f>
            </c:strRef>
          </c:cat>
          <c:val>
            <c:numRef>
              <c:f>WBS!$W$2:$W$13</c:f>
              <c:numCache/>
            </c:numRef>
          </c:val>
          <c:smooth val="0"/>
        </c:ser>
        <c:ser>
          <c:idx val="1"/>
          <c:order val="1"/>
          <c:tx>
            <c:v>EV acumulado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WBS!$F$2:$F$22</c:f>
            </c:strRef>
          </c:cat>
          <c:val>
            <c:numRef>
              <c:f>WBS!$X$2:$X$13</c:f>
              <c:numCache/>
            </c:numRef>
          </c:val>
          <c:smooth val="0"/>
        </c:ser>
        <c:ser>
          <c:idx val="2"/>
          <c:order val="2"/>
          <c:tx>
            <c:v>AC acumulado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WBS!$F$2:$F$22</c:f>
            </c:strRef>
          </c:cat>
          <c:val>
            <c:numRef>
              <c:f>WBS!$Y$2:$Y$13</c:f>
              <c:numCache/>
            </c:numRef>
          </c:val>
          <c:smooth val="0"/>
        </c:ser>
        <c:axId val="569006465"/>
        <c:axId val="1057284499"/>
      </c:lineChart>
      <c:catAx>
        <c:axId val="569006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Tiempo (Fin plan)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57284499"/>
      </c:catAx>
      <c:valAx>
        <c:axId val="1057284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$ 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6900646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Burnup — EV acumulado vs PV acumulado + Alcance (BAC)</a:t>
            </a:r>
          </a:p>
        </c:rich>
      </c:tx>
      <c:overlay val="0"/>
    </c:title>
    <c:plotArea>
      <c:layout/>
      <c:lineChart>
        <c:ser>
          <c:idx val="0"/>
          <c:order val="0"/>
          <c:tx>
            <c:v>EV acumulado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WBS!$F$2:$F$22</c:f>
            </c:strRef>
          </c:cat>
          <c:val>
            <c:numRef>
              <c:f>WBS!$X$2:$X$13</c:f>
              <c:numCache/>
            </c:numRef>
          </c:val>
          <c:smooth val="0"/>
        </c:ser>
        <c:ser>
          <c:idx val="1"/>
          <c:order val="1"/>
          <c:tx>
            <c:v>PV acumulado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WBS!$F$2:$F$22</c:f>
            </c:strRef>
          </c:cat>
          <c:val>
            <c:numRef>
              <c:f>WBS!$W$2:$W$13</c:f>
              <c:numCache/>
            </c:numRef>
          </c:val>
          <c:smooth val="0"/>
        </c:ser>
        <c:ser>
          <c:idx val="2"/>
          <c:order val="2"/>
          <c:tx>
            <c:v>5582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WBS!$F$2:$F$22</c:f>
            </c:strRef>
          </c:cat>
          <c:val>
            <c:numRef>
              <c:f>'Gráficos'!$C$11:$C$23</c:f>
              <c:numCache/>
            </c:numRef>
          </c:val>
          <c:smooth val="0"/>
        </c:ser>
        <c:axId val="588767490"/>
        <c:axId val="990655071"/>
      </c:lineChart>
      <c:catAx>
        <c:axId val="588767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Tiempo (Fin plan)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90655071"/>
      </c:catAx>
      <c:valAx>
        <c:axId val="990655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$ 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8876749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9525</xdr:rowOff>
    </xdr:from>
    <xdr:ext cx="7448550" cy="3829050"/>
    <xdr:graphicFrame>
      <xdr:nvGraphicFramePr>
        <xdr:cNvPr id="12252405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</xdr:colOff>
      <xdr:row>26</xdr:row>
      <xdr:rowOff>85725</xdr:rowOff>
    </xdr:from>
    <xdr:ext cx="7448550" cy="6419850"/>
    <xdr:graphicFrame>
      <xdr:nvGraphicFramePr>
        <xdr:cNvPr id="12954341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13" displayName="Tabla1" name="Tabla1" id="1">
  <tableColumns count="25">
    <tableColumn name="ID" id="1"/>
    <tableColumn name="Entregable / Historia" id="2"/>
    <tableColumn name="Tipo (feature/bug/tech)" id="3"/>
    <tableColumn name="Responsable" id="4"/>
    <tableColumn name="Inicio plan" id="5"/>
    <tableColumn name="Fin plan" id="6"/>
    <tableColumn name="BAC (presupuesto $)" id="7"/>
    <tableColumn name="Costo hora ($)" id="8"/>
    <tableColumn name="Horas plan" id="9"/>
    <tableColumn name="Horas reales" id="10"/>
    <tableColumn name="Otros costos reales ($)" id="11"/>
    <tableColumn name="Regla de ganancia (EV)" id="12"/>
    <tableColumn name="Estado (NI/EP/H)" id="13"/>
    <tableColumn name="% completado (0-100)" id="14"/>
    <tableColumn name="DoD: ítems totales" id="15"/>
    <tableColumn name="DoD: ítems ok" id="16"/>
    <tableColumn name="PV al corte ($)" id="17"/>
    <tableColumn name="EV ($)" id="18"/>
    <tableColumn name="AC ($)" id="19"/>
    <tableColumn name="SV ($)" id="20"/>
    <tableColumn name="CV ($)" id="21"/>
    <tableColumn name="Notas" id="22"/>
    <tableColumn name="PV acumulado" id="23"/>
    <tableColumn name="EV acumulado" id="24"/>
    <tableColumn name="AC acumulado" id="25"/>
  </tableColumns>
  <tableStyleInfo name="WB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56.29"/>
    <col customWidth="1" min="3" max="3" width="21.86"/>
    <col customWidth="1" min="4" max="4" width="32.29"/>
    <col customWidth="1" min="5" max="6" width="16.0"/>
    <col customWidth="1" min="7" max="7" width="19.0"/>
    <col customWidth="1" min="8" max="10" width="16.0"/>
    <col customWidth="1" min="11" max="11" width="20.14"/>
    <col customWidth="1" min="12" max="12" width="20.29"/>
    <col customWidth="1" min="13" max="13" width="16.14"/>
    <col customWidth="1" min="14" max="14" width="20.29"/>
    <col customWidth="1" min="15" max="15" width="17.71"/>
    <col customWidth="1" min="16" max="20" width="16.0"/>
    <col customWidth="1" min="21" max="21" width="34.0"/>
    <col customWidth="1" min="22" max="22" width="16.0"/>
    <col customWidth="1" min="23" max="23" width="14.43"/>
    <col customWidth="1" min="24" max="24" width="14.29"/>
    <col customWidth="1" min="25" max="25" width="14.43"/>
    <col customWidth="1" min="26" max="26" width="8.86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</row>
    <row r="2" ht="15.75" customHeight="1">
      <c r="A2" s="4">
        <v>1.0</v>
      </c>
      <c r="B2" s="5" t="s">
        <v>25</v>
      </c>
      <c r="C2" s="6" t="s">
        <v>26</v>
      </c>
      <c r="D2" s="7" t="s">
        <v>27</v>
      </c>
      <c r="E2" s="8">
        <v>45951.0</v>
      </c>
      <c r="F2" s="9">
        <v>45972.0</v>
      </c>
      <c r="G2" s="6">
        <v>400.0</v>
      </c>
      <c r="H2" s="6">
        <v>40.0</v>
      </c>
      <c r="I2" s="6">
        <v>10.0</v>
      </c>
      <c r="J2" s="6">
        <v>9.0</v>
      </c>
      <c r="K2" s="6">
        <v>0.0</v>
      </c>
      <c r="L2" s="6" t="s">
        <v>28</v>
      </c>
      <c r="M2" s="6" t="s">
        <v>29</v>
      </c>
      <c r="N2" s="6">
        <v>100.0</v>
      </c>
      <c r="O2" s="6">
        <v>0.0</v>
      </c>
      <c r="P2" s="6">
        <v>0.0</v>
      </c>
      <c r="Q2" s="6">
        <f>IF(F2&lt;=Costos!$B$2, G2, 0)</f>
        <v>400</v>
      </c>
      <c r="R2" s="6">
        <f t="shared" ref="R2:R40" si="2">IF(L2="0/100", IF(N2=100, G2, 0), IF(L2="50/50", IF(M2="H", G2, IF(M2="EP", G2*0.5, 0)), IF(L2="20/80", IF(M2="H", G2, IF(M2="EP", G2*0.2, 0)), IF(L2="Por checklist", IF(P2&gt;0, G2*(O2/P2), G2*(N2/100)), G2*(N2/100)))))</f>
        <v>400</v>
      </c>
      <c r="S2" s="6">
        <f t="shared" ref="S2:S40" si="3">IFERROR(J2*H2,0)+IFERROR(K2,0)</f>
        <v>360</v>
      </c>
      <c r="T2" s="6">
        <f t="shared" ref="T2:T40" si="4">R2-Q2</f>
        <v>0</v>
      </c>
      <c r="U2" s="6">
        <f t="shared" ref="U2:U40" si="5">R2-S2</f>
        <v>40</v>
      </c>
      <c r="V2" s="6"/>
      <c r="W2" s="10">
        <f t="shared" ref="W2:Y2" si="1">IFERROR(Q2,0)</f>
        <v>400</v>
      </c>
      <c r="X2" s="10">
        <f t="shared" si="1"/>
        <v>400</v>
      </c>
      <c r="Y2" s="10">
        <f t="shared" si="1"/>
        <v>360</v>
      </c>
    </row>
    <row r="3" ht="15.75" customHeight="1">
      <c r="A3" s="11">
        <v>2.0</v>
      </c>
      <c r="B3" s="5" t="s">
        <v>30</v>
      </c>
      <c r="C3" s="6" t="s">
        <v>31</v>
      </c>
      <c r="D3" s="7" t="s">
        <v>27</v>
      </c>
      <c r="E3" s="8">
        <v>45951.0</v>
      </c>
      <c r="F3" s="9">
        <v>45973.0</v>
      </c>
      <c r="G3" s="6">
        <v>420.0</v>
      </c>
      <c r="H3" s="6">
        <v>42.0</v>
      </c>
      <c r="I3" s="6">
        <v>10.0</v>
      </c>
      <c r="J3" s="6">
        <v>9.0</v>
      </c>
      <c r="K3" s="6">
        <v>0.0</v>
      </c>
      <c r="L3" s="6" t="s">
        <v>28</v>
      </c>
      <c r="M3" s="6" t="s">
        <v>29</v>
      </c>
      <c r="N3" s="6">
        <v>100.0</v>
      </c>
      <c r="O3" s="6">
        <v>0.0</v>
      </c>
      <c r="P3" s="6">
        <v>0.0</v>
      </c>
      <c r="Q3" s="6">
        <f>IF(F3&lt;=Costos!$B$2, G3, 0)</f>
        <v>420</v>
      </c>
      <c r="R3" s="6">
        <f t="shared" si="2"/>
        <v>420</v>
      </c>
      <c r="S3" s="6">
        <f t="shared" si="3"/>
        <v>378</v>
      </c>
      <c r="T3" s="6">
        <f t="shared" si="4"/>
        <v>0</v>
      </c>
      <c r="U3" s="6">
        <f t="shared" si="5"/>
        <v>42</v>
      </c>
      <c r="V3" s="6"/>
      <c r="W3" s="10">
        <f t="shared" ref="W3:Y3" si="6">IFERROR(W2+Q3, W2)</f>
        <v>820</v>
      </c>
      <c r="X3" s="10">
        <f t="shared" si="6"/>
        <v>820</v>
      </c>
      <c r="Y3" s="10">
        <f t="shared" si="6"/>
        <v>738</v>
      </c>
    </row>
    <row r="4" ht="15.75" customHeight="1">
      <c r="A4" s="11">
        <v>3.0</v>
      </c>
      <c r="B4" s="5" t="s">
        <v>32</v>
      </c>
      <c r="C4" s="6" t="s">
        <v>26</v>
      </c>
      <c r="D4" s="7" t="s">
        <v>27</v>
      </c>
      <c r="E4" s="8">
        <v>45951.0</v>
      </c>
      <c r="F4" s="9">
        <v>45974.0</v>
      </c>
      <c r="G4" s="6">
        <v>480.0</v>
      </c>
      <c r="H4" s="6">
        <v>40.0</v>
      </c>
      <c r="I4" s="6">
        <v>12.0</v>
      </c>
      <c r="J4" s="6">
        <v>12.0</v>
      </c>
      <c r="K4" s="6">
        <v>0.0</v>
      </c>
      <c r="L4" s="6" t="s">
        <v>28</v>
      </c>
      <c r="M4" s="6" t="s">
        <v>29</v>
      </c>
      <c r="N4" s="6">
        <v>100.0</v>
      </c>
      <c r="O4" s="6">
        <v>0.0</v>
      </c>
      <c r="P4" s="6">
        <v>0.0</v>
      </c>
      <c r="Q4" s="6">
        <f>IF(F4&lt;=Costos!$B$2, G4, 0)</f>
        <v>480</v>
      </c>
      <c r="R4" s="6">
        <f t="shared" si="2"/>
        <v>480</v>
      </c>
      <c r="S4" s="6">
        <f t="shared" si="3"/>
        <v>480</v>
      </c>
      <c r="T4" s="6">
        <f t="shared" si="4"/>
        <v>0</v>
      </c>
      <c r="U4" s="6">
        <f t="shared" si="5"/>
        <v>0</v>
      </c>
      <c r="V4" s="6"/>
      <c r="W4" s="10">
        <f t="shared" ref="W4:Y4" si="7">IFERROR(W3+Q4, W3)</f>
        <v>1300</v>
      </c>
      <c r="X4" s="10">
        <f t="shared" si="7"/>
        <v>1300</v>
      </c>
      <c r="Y4" s="10">
        <f t="shared" si="7"/>
        <v>1218</v>
      </c>
    </row>
    <row r="5" ht="15.75" customHeight="1">
      <c r="A5" s="4">
        <v>4.0</v>
      </c>
      <c r="B5" s="5" t="s">
        <v>33</v>
      </c>
      <c r="C5" s="6" t="s">
        <v>26</v>
      </c>
      <c r="D5" s="7" t="s">
        <v>34</v>
      </c>
      <c r="E5" s="8">
        <v>45951.0</v>
      </c>
      <c r="F5" s="9">
        <v>45975.0</v>
      </c>
      <c r="G5" s="6">
        <v>560.0</v>
      </c>
      <c r="H5" s="6">
        <v>40.0</v>
      </c>
      <c r="I5" s="6">
        <v>14.0</v>
      </c>
      <c r="J5" s="6">
        <v>15.0</v>
      </c>
      <c r="K5" s="6">
        <v>0.0</v>
      </c>
      <c r="L5" s="6" t="s">
        <v>35</v>
      </c>
      <c r="M5" s="6" t="s">
        <v>29</v>
      </c>
      <c r="N5" s="6">
        <v>100.0</v>
      </c>
      <c r="O5" s="6">
        <v>6.0</v>
      </c>
      <c r="P5" s="6">
        <v>6.0</v>
      </c>
      <c r="Q5" s="6">
        <f>IF(F5&lt;=Costos!$B$2, G5, 0)</f>
        <v>560</v>
      </c>
      <c r="R5" s="6">
        <f t="shared" si="2"/>
        <v>560</v>
      </c>
      <c r="S5" s="6">
        <f t="shared" si="3"/>
        <v>600</v>
      </c>
      <c r="T5" s="6">
        <f t="shared" si="4"/>
        <v>0</v>
      </c>
      <c r="U5" s="6">
        <f t="shared" si="5"/>
        <v>-40</v>
      </c>
      <c r="V5" s="6"/>
      <c r="W5" s="10">
        <f t="shared" ref="W5:Y5" si="8">IFERROR(W4+Q5, W4)</f>
        <v>1860</v>
      </c>
      <c r="X5" s="10">
        <f t="shared" si="8"/>
        <v>1860</v>
      </c>
      <c r="Y5" s="10">
        <f t="shared" si="8"/>
        <v>1818</v>
      </c>
    </row>
    <row r="6" ht="15.75" customHeight="1">
      <c r="A6" s="11">
        <v>5.0</v>
      </c>
      <c r="B6" s="5" t="s">
        <v>36</v>
      </c>
      <c r="C6" s="6" t="s">
        <v>31</v>
      </c>
      <c r="D6" s="7" t="s">
        <v>37</v>
      </c>
      <c r="E6" s="8">
        <v>45951.0</v>
      </c>
      <c r="F6" s="9">
        <v>45976.0</v>
      </c>
      <c r="G6" s="6">
        <v>336.0</v>
      </c>
      <c r="H6" s="6">
        <v>42.0</v>
      </c>
      <c r="I6" s="6">
        <v>8.0</v>
      </c>
      <c r="J6" s="6">
        <v>7.0</v>
      </c>
      <c r="K6" s="6">
        <v>0.0</v>
      </c>
      <c r="L6" s="6" t="s">
        <v>28</v>
      </c>
      <c r="M6" s="6" t="s">
        <v>29</v>
      </c>
      <c r="N6" s="6">
        <v>100.0</v>
      </c>
      <c r="O6" s="6">
        <v>0.0</v>
      </c>
      <c r="P6" s="6">
        <v>0.0</v>
      </c>
      <c r="Q6" s="6">
        <f>IF(F6&lt;=Costos!$B$2, G6, 0)</f>
        <v>336</v>
      </c>
      <c r="R6" s="6">
        <f t="shared" si="2"/>
        <v>336</v>
      </c>
      <c r="S6" s="6">
        <f t="shared" si="3"/>
        <v>294</v>
      </c>
      <c r="T6" s="6">
        <f t="shared" si="4"/>
        <v>0</v>
      </c>
      <c r="U6" s="6">
        <f t="shared" si="5"/>
        <v>42</v>
      </c>
      <c r="V6" s="6"/>
      <c r="W6" s="10">
        <f t="shared" ref="W6:Y6" si="9">IFERROR(W5+Q6, W5)</f>
        <v>2196</v>
      </c>
      <c r="X6" s="10">
        <f t="shared" si="9"/>
        <v>2196</v>
      </c>
      <c r="Y6" s="10">
        <f t="shared" si="9"/>
        <v>2112</v>
      </c>
    </row>
    <row r="7" ht="15.75" customHeight="1">
      <c r="A7" s="11">
        <v>6.0</v>
      </c>
      <c r="B7" s="5" t="s">
        <v>38</v>
      </c>
      <c r="C7" s="6" t="s">
        <v>31</v>
      </c>
      <c r="D7" s="7" t="s">
        <v>27</v>
      </c>
      <c r="E7" s="8">
        <v>45951.0</v>
      </c>
      <c r="F7" s="9">
        <v>45977.0</v>
      </c>
      <c r="G7" s="6">
        <v>336.0</v>
      </c>
      <c r="H7" s="6">
        <v>42.0</v>
      </c>
      <c r="I7" s="6">
        <v>8.0</v>
      </c>
      <c r="J7" s="6">
        <v>9.0</v>
      </c>
      <c r="K7" s="6">
        <v>0.0</v>
      </c>
      <c r="L7" s="6" t="s">
        <v>35</v>
      </c>
      <c r="M7" s="6" t="s">
        <v>29</v>
      </c>
      <c r="N7" s="6">
        <v>100.0</v>
      </c>
      <c r="O7" s="6">
        <v>5.0</v>
      </c>
      <c r="P7" s="6">
        <v>5.0</v>
      </c>
      <c r="Q7" s="6">
        <f>IF(F7&lt;=Costos!$B$2, G7, 0)</f>
        <v>336</v>
      </c>
      <c r="R7" s="6">
        <f t="shared" si="2"/>
        <v>336</v>
      </c>
      <c r="S7" s="6">
        <f t="shared" si="3"/>
        <v>378</v>
      </c>
      <c r="T7" s="6">
        <f t="shared" si="4"/>
        <v>0</v>
      </c>
      <c r="U7" s="6">
        <f t="shared" si="5"/>
        <v>-42</v>
      </c>
      <c r="V7" s="6"/>
      <c r="W7" s="10">
        <f t="shared" ref="W7:Y7" si="10">IFERROR(W6+Q7, W6)</f>
        <v>2532</v>
      </c>
      <c r="X7" s="10">
        <f t="shared" si="10"/>
        <v>2532</v>
      </c>
      <c r="Y7" s="10">
        <f t="shared" si="10"/>
        <v>2490</v>
      </c>
    </row>
    <row r="8" ht="15.75" customHeight="1">
      <c r="A8" s="4">
        <v>7.0</v>
      </c>
      <c r="B8" s="5" t="s">
        <v>39</v>
      </c>
      <c r="C8" s="6" t="s">
        <v>26</v>
      </c>
      <c r="D8" s="7" t="s">
        <v>34</v>
      </c>
      <c r="E8" s="8">
        <v>45951.0</v>
      </c>
      <c r="F8" s="9">
        <v>45978.0</v>
      </c>
      <c r="G8" s="6">
        <v>640.0</v>
      </c>
      <c r="H8" s="6">
        <v>40.0</v>
      </c>
      <c r="I8" s="6">
        <v>16.0</v>
      </c>
      <c r="J8" s="6">
        <v>12.0</v>
      </c>
      <c r="K8" s="6">
        <v>50.0</v>
      </c>
      <c r="L8" s="6" t="s">
        <v>35</v>
      </c>
      <c r="M8" s="5" t="s">
        <v>29</v>
      </c>
      <c r="N8" s="5">
        <v>100.0</v>
      </c>
      <c r="O8" s="6">
        <v>10.0</v>
      </c>
      <c r="P8" s="6">
        <v>7.0</v>
      </c>
      <c r="Q8" s="6">
        <f>IF(F8&lt;=Costos!$B$2, G8, 0)</f>
        <v>640</v>
      </c>
      <c r="R8" s="6">
        <f t="shared" si="2"/>
        <v>914.2857143</v>
      </c>
      <c r="S8" s="6">
        <f t="shared" si="3"/>
        <v>530</v>
      </c>
      <c r="T8" s="6">
        <f t="shared" si="4"/>
        <v>274.2857143</v>
      </c>
      <c r="U8" s="6">
        <f t="shared" si="5"/>
        <v>384.2857143</v>
      </c>
      <c r="V8" s="6"/>
      <c r="W8" s="10">
        <f t="shared" ref="W8:Y8" si="11">IFERROR(W7+Q8, W7)</f>
        <v>3172</v>
      </c>
      <c r="X8" s="10">
        <f t="shared" si="11"/>
        <v>3446.285714</v>
      </c>
      <c r="Y8" s="10">
        <f t="shared" si="11"/>
        <v>3020</v>
      </c>
    </row>
    <row r="9" ht="15.75" customHeight="1">
      <c r="A9" s="11">
        <v>8.0</v>
      </c>
      <c r="B9" s="5" t="s">
        <v>40</v>
      </c>
      <c r="C9" s="6" t="s">
        <v>41</v>
      </c>
      <c r="D9" s="7" t="s">
        <v>27</v>
      </c>
      <c r="E9" s="8">
        <v>45951.0</v>
      </c>
      <c r="F9" s="9">
        <v>45979.0</v>
      </c>
      <c r="G9" s="6">
        <v>160.0</v>
      </c>
      <c r="H9" s="6">
        <v>40.0</v>
      </c>
      <c r="I9" s="6">
        <v>4.0</v>
      </c>
      <c r="J9" s="6">
        <v>5.0</v>
      </c>
      <c r="K9" s="6">
        <v>0.0</v>
      </c>
      <c r="L9" s="6" t="s">
        <v>42</v>
      </c>
      <c r="M9" s="6" t="s">
        <v>29</v>
      </c>
      <c r="N9" s="6">
        <v>100.0</v>
      </c>
      <c r="O9" s="6">
        <v>0.0</v>
      </c>
      <c r="P9" s="6">
        <v>0.0</v>
      </c>
      <c r="Q9" s="6">
        <f>IF(F9&lt;=Costos!$B$2, G9, 0)</f>
        <v>160</v>
      </c>
      <c r="R9" s="6">
        <f t="shared" si="2"/>
        <v>160</v>
      </c>
      <c r="S9" s="6">
        <f t="shared" si="3"/>
        <v>200</v>
      </c>
      <c r="T9" s="6">
        <f t="shared" si="4"/>
        <v>0</v>
      </c>
      <c r="U9" s="6">
        <f t="shared" si="5"/>
        <v>-40</v>
      </c>
      <c r="V9" s="6"/>
      <c r="W9" s="10">
        <f t="shared" ref="W9:Y9" si="12">IFERROR(W8+Q9, W8)</f>
        <v>3332</v>
      </c>
      <c r="X9" s="10">
        <f t="shared" si="12"/>
        <v>3606.285714</v>
      </c>
      <c r="Y9" s="10">
        <f t="shared" si="12"/>
        <v>3220</v>
      </c>
    </row>
    <row r="10" ht="15.75" customHeight="1">
      <c r="A10" s="11">
        <v>9.0</v>
      </c>
      <c r="B10" s="5" t="s">
        <v>43</v>
      </c>
      <c r="C10" s="6" t="s">
        <v>26</v>
      </c>
      <c r="D10" s="7" t="s">
        <v>44</v>
      </c>
      <c r="E10" s="8">
        <v>45951.0</v>
      </c>
      <c r="F10" s="9">
        <v>45980.0</v>
      </c>
      <c r="G10" s="6">
        <v>720.0</v>
      </c>
      <c r="H10" s="6">
        <v>45.0</v>
      </c>
      <c r="I10" s="6">
        <v>16.0</v>
      </c>
      <c r="J10" s="6">
        <v>8.0</v>
      </c>
      <c r="K10" s="6">
        <v>0.0</v>
      </c>
      <c r="L10" s="6" t="s">
        <v>45</v>
      </c>
      <c r="M10" s="5" t="s">
        <v>29</v>
      </c>
      <c r="N10" s="5">
        <v>100.0</v>
      </c>
      <c r="O10" s="6">
        <v>0.0</v>
      </c>
      <c r="P10" s="6">
        <v>0.0</v>
      </c>
      <c r="Q10" s="6">
        <f>IF(F10&lt;=Costos!$B$2, G10, 0)</f>
        <v>720</v>
      </c>
      <c r="R10" s="6">
        <f t="shared" si="2"/>
        <v>720</v>
      </c>
      <c r="S10" s="6">
        <f t="shared" si="3"/>
        <v>360</v>
      </c>
      <c r="T10" s="6">
        <f t="shared" si="4"/>
        <v>0</v>
      </c>
      <c r="U10" s="6">
        <f t="shared" si="5"/>
        <v>360</v>
      </c>
      <c r="V10" s="6"/>
      <c r="W10" s="10">
        <f t="shared" ref="W10:Y10" si="13">IFERROR(W9+Q10, W9)</f>
        <v>4052</v>
      </c>
      <c r="X10" s="10">
        <f t="shared" si="13"/>
        <v>4326.285714</v>
      </c>
      <c r="Y10" s="10">
        <f t="shared" si="13"/>
        <v>3580</v>
      </c>
    </row>
    <row r="11" ht="15.75" customHeight="1">
      <c r="A11" s="4">
        <v>10.0</v>
      </c>
      <c r="B11" s="5" t="s">
        <v>46</v>
      </c>
      <c r="C11" s="6" t="s">
        <v>26</v>
      </c>
      <c r="D11" s="7" t="s">
        <v>47</v>
      </c>
      <c r="E11" s="8">
        <v>45951.0</v>
      </c>
      <c r="F11" s="9">
        <v>45981.0</v>
      </c>
      <c r="G11" s="6">
        <v>810.0</v>
      </c>
      <c r="H11" s="6">
        <v>45.0</v>
      </c>
      <c r="I11" s="6">
        <v>18.0</v>
      </c>
      <c r="J11" s="6">
        <v>10.0</v>
      </c>
      <c r="K11" s="6">
        <v>0.0</v>
      </c>
      <c r="L11" s="6" t="s">
        <v>42</v>
      </c>
      <c r="M11" s="5" t="s">
        <v>29</v>
      </c>
      <c r="N11" s="5">
        <v>100.0</v>
      </c>
      <c r="O11" s="6">
        <v>0.0</v>
      </c>
      <c r="P11" s="6">
        <v>0.0</v>
      </c>
      <c r="Q11" s="6">
        <f>IF(F11&lt;=Costos!$B$2, G11, 0)</f>
        <v>810</v>
      </c>
      <c r="R11" s="6">
        <f t="shared" si="2"/>
        <v>810</v>
      </c>
      <c r="S11" s="6">
        <f t="shared" si="3"/>
        <v>450</v>
      </c>
      <c r="T11" s="6">
        <f t="shared" si="4"/>
        <v>0</v>
      </c>
      <c r="U11" s="6">
        <f t="shared" si="5"/>
        <v>360</v>
      </c>
      <c r="V11" s="6"/>
      <c r="W11" s="10">
        <f t="shared" ref="W11:Y11" si="14">IFERROR(W10+Q11, W10)</f>
        <v>4862</v>
      </c>
      <c r="X11" s="10">
        <f t="shared" si="14"/>
        <v>5136.285714</v>
      </c>
      <c r="Y11" s="10">
        <f t="shared" si="14"/>
        <v>4030</v>
      </c>
    </row>
    <row r="12" ht="15.75" customHeight="1">
      <c r="A12" s="11">
        <v>11.0</v>
      </c>
      <c r="B12" s="5" t="s">
        <v>48</v>
      </c>
      <c r="C12" s="6" t="s">
        <v>31</v>
      </c>
      <c r="D12" s="7" t="s">
        <v>44</v>
      </c>
      <c r="E12" s="8">
        <v>45951.0</v>
      </c>
      <c r="F12" s="9">
        <v>45982.0</v>
      </c>
      <c r="G12" s="6">
        <v>480.0</v>
      </c>
      <c r="H12" s="6">
        <v>40.0</v>
      </c>
      <c r="I12" s="6">
        <v>12.0</v>
      </c>
      <c r="J12" s="6">
        <v>6.0</v>
      </c>
      <c r="K12" s="6">
        <v>0.0</v>
      </c>
      <c r="L12" s="6" t="s">
        <v>45</v>
      </c>
      <c r="M12" s="5" t="s">
        <v>29</v>
      </c>
      <c r="N12" s="5">
        <v>100.0</v>
      </c>
      <c r="O12" s="6">
        <v>0.0</v>
      </c>
      <c r="P12" s="6">
        <v>0.0</v>
      </c>
      <c r="Q12" s="6">
        <f>IF(F12&lt;=Costos!$B$2, G12, 0)</f>
        <v>480</v>
      </c>
      <c r="R12" s="6">
        <f t="shared" si="2"/>
        <v>480</v>
      </c>
      <c r="S12" s="6">
        <f t="shared" si="3"/>
        <v>240</v>
      </c>
      <c r="T12" s="6">
        <f t="shared" si="4"/>
        <v>0</v>
      </c>
      <c r="U12" s="6">
        <f t="shared" si="5"/>
        <v>240</v>
      </c>
      <c r="V12" s="6"/>
      <c r="W12" s="10">
        <f t="shared" ref="W12:Y12" si="15">IFERROR(W11+Q12, W11)</f>
        <v>5342</v>
      </c>
      <c r="X12" s="10">
        <f t="shared" si="15"/>
        <v>5616.285714</v>
      </c>
      <c r="Y12" s="10">
        <f t="shared" si="15"/>
        <v>4270</v>
      </c>
    </row>
    <row r="13" ht="15.75" customHeight="1">
      <c r="A13" s="11">
        <v>12.0</v>
      </c>
      <c r="B13" s="5" t="s">
        <v>49</v>
      </c>
      <c r="C13" s="6" t="s">
        <v>31</v>
      </c>
      <c r="D13" s="7" t="s">
        <v>50</v>
      </c>
      <c r="E13" s="8">
        <v>45951.0</v>
      </c>
      <c r="F13" s="9">
        <v>45983.0</v>
      </c>
      <c r="G13" s="6">
        <v>240.0</v>
      </c>
      <c r="H13" s="6">
        <v>40.0</v>
      </c>
      <c r="I13" s="6">
        <v>6.0</v>
      </c>
      <c r="J13" s="6">
        <v>0.0</v>
      </c>
      <c r="K13" s="6">
        <v>0.0</v>
      </c>
      <c r="L13" s="6" t="s">
        <v>42</v>
      </c>
      <c r="M13" s="5" t="s">
        <v>29</v>
      </c>
      <c r="N13" s="5">
        <v>100.0</v>
      </c>
      <c r="O13" s="6">
        <v>0.0</v>
      </c>
      <c r="P13" s="6">
        <v>0.0</v>
      </c>
      <c r="Q13" s="6">
        <f>IF(F13&lt;=Costos!$B$2, G13, 0)</f>
        <v>240</v>
      </c>
      <c r="R13" s="6">
        <f t="shared" si="2"/>
        <v>240</v>
      </c>
      <c r="S13" s="6">
        <f t="shared" si="3"/>
        <v>0</v>
      </c>
      <c r="T13" s="6">
        <f t="shared" si="4"/>
        <v>0</v>
      </c>
      <c r="U13" s="6">
        <f t="shared" si="5"/>
        <v>240</v>
      </c>
      <c r="V13" s="6"/>
      <c r="W13" s="10">
        <f t="shared" ref="W13:Y13" si="16">IFERROR(W12+Q13, W12)</f>
        <v>5582</v>
      </c>
      <c r="X13" s="10">
        <f t="shared" si="16"/>
        <v>5856.285714</v>
      </c>
      <c r="Y13" s="10">
        <f t="shared" si="16"/>
        <v>4270</v>
      </c>
    </row>
    <row r="14" ht="15.75" customHeight="1">
      <c r="A14" s="12">
        <v>13.0</v>
      </c>
      <c r="B14" s="13" t="s">
        <v>51</v>
      </c>
      <c r="C14" s="13" t="s">
        <v>26</v>
      </c>
      <c r="D14" s="14" t="s">
        <v>44</v>
      </c>
      <c r="E14" s="15">
        <v>45951.0</v>
      </c>
      <c r="F14" s="16">
        <v>45984.0</v>
      </c>
      <c r="G14" s="13">
        <v>520.0</v>
      </c>
      <c r="H14" s="13">
        <v>40.0</v>
      </c>
      <c r="I14" s="13">
        <v>13.0</v>
      </c>
      <c r="J14" s="13">
        <v>14.0</v>
      </c>
      <c r="K14" s="13">
        <v>0.0</v>
      </c>
      <c r="L14" s="13" t="s">
        <v>28</v>
      </c>
      <c r="M14" s="13" t="s">
        <v>29</v>
      </c>
      <c r="N14" s="13">
        <v>100.0</v>
      </c>
      <c r="O14" s="13">
        <v>0.0</v>
      </c>
      <c r="P14" s="13">
        <v>0.0</v>
      </c>
      <c r="Q14" s="17">
        <f>IF(F14&lt;=Costos!$B$2, G14, 0)</f>
        <v>520</v>
      </c>
      <c r="R14" s="17">
        <f t="shared" si="2"/>
        <v>520</v>
      </c>
      <c r="S14" s="17">
        <f t="shared" si="3"/>
        <v>560</v>
      </c>
      <c r="T14" s="17">
        <f t="shared" si="4"/>
        <v>0</v>
      </c>
      <c r="U14" s="17">
        <f t="shared" si="5"/>
        <v>-40</v>
      </c>
      <c r="V14" s="17"/>
      <c r="W14" s="18">
        <f t="shared" ref="W14:Y14" si="17">IFERROR(W13+Q14, W13)</f>
        <v>6102</v>
      </c>
      <c r="X14" s="18">
        <f t="shared" si="17"/>
        <v>6376.285714</v>
      </c>
      <c r="Y14" s="18">
        <f t="shared" si="17"/>
        <v>4830</v>
      </c>
    </row>
    <row r="15" ht="15.75" customHeight="1">
      <c r="A15" s="19">
        <v>14.0</v>
      </c>
      <c r="B15" s="13" t="s">
        <v>52</v>
      </c>
      <c r="C15" s="13" t="s">
        <v>26</v>
      </c>
      <c r="D15" s="20" t="s">
        <v>47</v>
      </c>
      <c r="E15" s="21">
        <v>45980.0</v>
      </c>
      <c r="F15" s="21">
        <v>45991.0</v>
      </c>
      <c r="G15" s="13">
        <v>480.0</v>
      </c>
      <c r="H15" s="13">
        <v>40.0</v>
      </c>
      <c r="I15" s="13">
        <v>12.0</v>
      </c>
      <c r="J15" s="13">
        <v>11.0</v>
      </c>
      <c r="K15" s="13">
        <v>0.0</v>
      </c>
      <c r="L15" s="13" t="s">
        <v>28</v>
      </c>
      <c r="M15" s="13" t="s">
        <v>53</v>
      </c>
      <c r="N15" s="13">
        <v>0.0</v>
      </c>
      <c r="O15" s="13">
        <v>0.0</v>
      </c>
      <c r="P15" s="13">
        <v>0.0</v>
      </c>
      <c r="Q15" s="17">
        <f>IF(F15&lt;=Costos!$B$2, G15, 0)</f>
        <v>0</v>
      </c>
      <c r="R15" s="17">
        <f t="shared" si="2"/>
        <v>240</v>
      </c>
      <c r="S15" s="17">
        <f t="shared" si="3"/>
        <v>440</v>
      </c>
      <c r="T15" s="17">
        <f t="shared" si="4"/>
        <v>240</v>
      </c>
      <c r="U15" s="17">
        <f t="shared" si="5"/>
        <v>-200</v>
      </c>
      <c r="V15" s="17"/>
      <c r="W15" s="18">
        <f t="shared" ref="W15:Y15" si="18">IFERROR(W14+Q15, W14)</f>
        <v>6102</v>
      </c>
      <c r="X15" s="18">
        <f t="shared" si="18"/>
        <v>6616.285714</v>
      </c>
      <c r="Y15" s="18">
        <f t="shared" si="18"/>
        <v>5270</v>
      </c>
    </row>
    <row r="16" ht="15.75" customHeight="1">
      <c r="A16" s="19">
        <v>15.0</v>
      </c>
      <c r="B16" s="13" t="s">
        <v>54</v>
      </c>
      <c r="C16" s="13" t="s">
        <v>26</v>
      </c>
      <c r="D16" s="20" t="s">
        <v>55</v>
      </c>
      <c r="E16" s="21">
        <v>45980.0</v>
      </c>
      <c r="F16" s="21">
        <v>45991.0</v>
      </c>
      <c r="G16" s="13">
        <v>400.0</v>
      </c>
      <c r="H16" s="13">
        <v>40.0</v>
      </c>
      <c r="I16" s="13">
        <v>10.0</v>
      </c>
      <c r="J16" s="13">
        <v>9.0</v>
      </c>
      <c r="K16" s="13">
        <v>0.0</v>
      </c>
      <c r="L16" s="13" t="s">
        <v>42</v>
      </c>
      <c r="M16" s="13" t="s">
        <v>53</v>
      </c>
      <c r="N16" s="13">
        <v>0.0</v>
      </c>
      <c r="O16" s="13">
        <v>0.0</v>
      </c>
      <c r="P16" s="13">
        <v>0.0</v>
      </c>
      <c r="Q16" s="17">
        <f>IF(F16&lt;=Costos!$B$2, G16, 0)</f>
        <v>0</v>
      </c>
      <c r="R16" s="17">
        <f t="shared" si="2"/>
        <v>0</v>
      </c>
      <c r="S16" s="17">
        <f t="shared" si="3"/>
        <v>360</v>
      </c>
      <c r="T16" s="17">
        <f t="shared" si="4"/>
        <v>0</v>
      </c>
      <c r="U16" s="17">
        <f t="shared" si="5"/>
        <v>-360</v>
      </c>
      <c r="V16" s="17"/>
      <c r="W16" s="18">
        <f t="shared" ref="W16:Y16" si="19">IFERROR(W15+Q16, W15)</f>
        <v>6102</v>
      </c>
      <c r="X16" s="18">
        <f t="shared" si="19"/>
        <v>6616.285714</v>
      </c>
      <c r="Y16" s="18">
        <f t="shared" si="19"/>
        <v>5630</v>
      </c>
    </row>
    <row r="17" ht="15.75" customHeight="1">
      <c r="A17" s="12">
        <v>16.0</v>
      </c>
      <c r="B17" s="13" t="s">
        <v>56</v>
      </c>
      <c r="C17" s="13" t="s">
        <v>26</v>
      </c>
      <c r="D17" s="20" t="s">
        <v>27</v>
      </c>
      <c r="E17" s="21">
        <v>45980.0</v>
      </c>
      <c r="F17" s="21">
        <v>45991.0</v>
      </c>
      <c r="G17" s="13">
        <v>320.0</v>
      </c>
      <c r="H17" s="13">
        <v>40.0</v>
      </c>
      <c r="I17" s="13">
        <v>8.0</v>
      </c>
      <c r="J17" s="13">
        <v>8.0</v>
      </c>
      <c r="K17" s="13">
        <v>0.0</v>
      </c>
      <c r="L17" s="13" t="s">
        <v>45</v>
      </c>
      <c r="M17" s="13" t="s">
        <v>53</v>
      </c>
      <c r="N17" s="13">
        <v>0.0</v>
      </c>
      <c r="O17" s="13">
        <v>0.0</v>
      </c>
      <c r="P17" s="13">
        <v>0.0</v>
      </c>
      <c r="Q17" s="17">
        <f>IF(F17&lt;=Costos!$B$2, G17, 0)</f>
        <v>0</v>
      </c>
      <c r="R17" s="17">
        <f t="shared" si="2"/>
        <v>64</v>
      </c>
      <c r="S17" s="17">
        <f t="shared" si="3"/>
        <v>320</v>
      </c>
      <c r="T17" s="17">
        <f t="shared" si="4"/>
        <v>64</v>
      </c>
      <c r="U17" s="17">
        <f t="shared" si="5"/>
        <v>-256</v>
      </c>
      <c r="V17" s="17"/>
      <c r="W17" s="18">
        <f t="shared" ref="W17:Y17" si="20">IFERROR(W16+Q17, W16)</f>
        <v>6102</v>
      </c>
      <c r="X17" s="18">
        <f t="shared" si="20"/>
        <v>6680.285714</v>
      </c>
      <c r="Y17" s="18">
        <f t="shared" si="20"/>
        <v>5950</v>
      </c>
    </row>
    <row r="18" ht="15.75" customHeight="1">
      <c r="A18" s="19">
        <v>17.0</v>
      </c>
      <c r="B18" s="13" t="s">
        <v>57</v>
      </c>
      <c r="C18" s="13" t="s">
        <v>26</v>
      </c>
      <c r="D18" s="20" t="s">
        <v>37</v>
      </c>
      <c r="E18" s="21">
        <v>45980.0</v>
      </c>
      <c r="F18" s="21">
        <v>45991.0</v>
      </c>
      <c r="G18" s="13">
        <v>180.0</v>
      </c>
      <c r="H18" s="13">
        <v>40.0</v>
      </c>
      <c r="I18" s="13">
        <v>5.0</v>
      </c>
      <c r="J18" s="13">
        <v>6.0</v>
      </c>
      <c r="K18" s="13">
        <v>0.0</v>
      </c>
      <c r="L18" s="13" t="s">
        <v>42</v>
      </c>
      <c r="M18" s="13" t="s">
        <v>53</v>
      </c>
      <c r="N18" s="13">
        <v>0.0</v>
      </c>
      <c r="O18" s="13">
        <v>0.0</v>
      </c>
      <c r="P18" s="13">
        <v>0.0</v>
      </c>
      <c r="Q18" s="17">
        <f>IF(F18&lt;=Costos!$B$2, G18, 0)</f>
        <v>0</v>
      </c>
      <c r="R18" s="17">
        <f t="shared" si="2"/>
        <v>0</v>
      </c>
      <c r="S18" s="17">
        <f t="shared" si="3"/>
        <v>240</v>
      </c>
      <c r="T18" s="17">
        <f t="shared" si="4"/>
        <v>0</v>
      </c>
      <c r="U18" s="17">
        <f t="shared" si="5"/>
        <v>-240</v>
      </c>
      <c r="V18" s="17"/>
      <c r="W18" s="18">
        <f t="shared" ref="W18:Y18" si="21">IFERROR(W17+Q18, W17)</f>
        <v>6102</v>
      </c>
      <c r="X18" s="18">
        <f t="shared" si="21"/>
        <v>6680.285714</v>
      </c>
      <c r="Y18" s="18">
        <f t="shared" si="21"/>
        <v>6190</v>
      </c>
    </row>
    <row r="19" ht="15.75" customHeight="1">
      <c r="A19" s="19">
        <v>18.0</v>
      </c>
      <c r="B19" s="13" t="s">
        <v>58</v>
      </c>
      <c r="C19" s="13" t="s">
        <v>41</v>
      </c>
      <c r="D19" s="14" t="s">
        <v>59</v>
      </c>
      <c r="E19" s="16">
        <v>45992.0</v>
      </c>
      <c r="F19" s="21">
        <v>46006.0</v>
      </c>
      <c r="G19" s="13">
        <v>200.0</v>
      </c>
      <c r="H19" s="13">
        <v>42.0</v>
      </c>
      <c r="I19" s="13">
        <v>5.0</v>
      </c>
      <c r="J19" s="13">
        <v>5.0</v>
      </c>
      <c r="K19" s="13">
        <v>0.0</v>
      </c>
      <c r="L19" s="13" t="s">
        <v>42</v>
      </c>
      <c r="M19" s="13" t="s">
        <v>53</v>
      </c>
      <c r="N19" s="13">
        <v>0.0</v>
      </c>
      <c r="O19" s="13">
        <v>0.0</v>
      </c>
      <c r="P19" s="13">
        <v>0.0</v>
      </c>
      <c r="Q19" s="17">
        <f>IF(F19&lt;=Costos!$B$2, G19, 0)</f>
        <v>0</v>
      </c>
      <c r="R19" s="17">
        <f t="shared" si="2"/>
        <v>0</v>
      </c>
      <c r="S19" s="17">
        <f t="shared" si="3"/>
        <v>210</v>
      </c>
      <c r="T19" s="17">
        <f t="shared" si="4"/>
        <v>0</v>
      </c>
      <c r="U19" s="17">
        <f t="shared" si="5"/>
        <v>-210</v>
      </c>
      <c r="V19" s="17"/>
      <c r="W19" s="18">
        <f t="shared" ref="W19:Y19" si="22">IFERROR(W18+Q19, W18)</f>
        <v>6102</v>
      </c>
      <c r="X19" s="18">
        <f t="shared" si="22"/>
        <v>6680.285714</v>
      </c>
      <c r="Y19" s="18">
        <f t="shared" si="22"/>
        <v>6400</v>
      </c>
    </row>
    <row r="20" ht="15.75" customHeight="1">
      <c r="A20" s="12">
        <v>19.0</v>
      </c>
      <c r="B20" s="13" t="s">
        <v>60</v>
      </c>
      <c r="C20" s="13" t="s">
        <v>31</v>
      </c>
      <c r="D20" s="14" t="s">
        <v>44</v>
      </c>
      <c r="E20" s="16">
        <v>45992.0</v>
      </c>
      <c r="F20" s="21">
        <v>46006.0</v>
      </c>
      <c r="G20" s="13">
        <v>280.0</v>
      </c>
      <c r="H20" s="13">
        <v>45.0</v>
      </c>
      <c r="I20" s="13">
        <v>6.0</v>
      </c>
      <c r="J20" s="13">
        <v>7.0</v>
      </c>
      <c r="K20" s="13">
        <v>75.0</v>
      </c>
      <c r="L20" s="13" t="s">
        <v>35</v>
      </c>
      <c r="M20" s="13" t="s">
        <v>53</v>
      </c>
      <c r="N20" s="13">
        <v>0.0</v>
      </c>
      <c r="O20" s="13">
        <v>0.0</v>
      </c>
      <c r="P20" s="13">
        <v>0.0</v>
      </c>
      <c r="Q20" s="17">
        <f>IF(F20&lt;=Costos!$B$2, G20, 0)</f>
        <v>0</v>
      </c>
      <c r="R20" s="17">
        <f t="shared" si="2"/>
        <v>0</v>
      </c>
      <c r="S20" s="17">
        <f t="shared" si="3"/>
        <v>390</v>
      </c>
      <c r="T20" s="17">
        <f t="shared" si="4"/>
        <v>0</v>
      </c>
      <c r="U20" s="17">
        <f t="shared" si="5"/>
        <v>-390</v>
      </c>
      <c r="V20" s="17"/>
      <c r="W20" s="18">
        <f t="shared" ref="W20:Y20" si="23">IFERROR(W19+Q20, W19)</f>
        <v>6102</v>
      </c>
      <c r="X20" s="18">
        <f t="shared" si="23"/>
        <v>6680.285714</v>
      </c>
      <c r="Y20" s="18">
        <f t="shared" si="23"/>
        <v>6790</v>
      </c>
    </row>
    <row r="21" ht="15.75" customHeight="1">
      <c r="A21" s="12">
        <v>20.0</v>
      </c>
      <c r="B21" s="13" t="s">
        <v>61</v>
      </c>
      <c r="C21" s="13" t="s">
        <v>31</v>
      </c>
      <c r="D21" s="14" t="s">
        <v>37</v>
      </c>
      <c r="E21" s="16">
        <v>45992.0</v>
      </c>
      <c r="F21" s="21">
        <v>46006.0</v>
      </c>
      <c r="G21" s="13">
        <v>240.0</v>
      </c>
      <c r="H21" s="13">
        <v>40.0</v>
      </c>
      <c r="I21" s="13">
        <v>6.0</v>
      </c>
      <c r="J21" s="13">
        <v>5.0</v>
      </c>
      <c r="K21" s="13">
        <v>0.0</v>
      </c>
      <c r="L21" s="13" t="s">
        <v>42</v>
      </c>
      <c r="M21" s="13" t="s">
        <v>53</v>
      </c>
      <c r="N21" s="13">
        <v>0.0</v>
      </c>
      <c r="O21" s="13">
        <v>0.0</v>
      </c>
      <c r="P21" s="13">
        <v>0.0</v>
      </c>
      <c r="Q21" s="17">
        <f>IF(F21&lt;=Costos!$B$2, G21, 0)</f>
        <v>0</v>
      </c>
      <c r="R21" s="17">
        <f t="shared" si="2"/>
        <v>0</v>
      </c>
      <c r="S21" s="17">
        <f t="shared" si="3"/>
        <v>200</v>
      </c>
      <c r="T21" s="17">
        <f t="shared" si="4"/>
        <v>0</v>
      </c>
      <c r="U21" s="17">
        <f t="shared" si="5"/>
        <v>-200</v>
      </c>
      <c r="V21" s="17"/>
      <c r="W21" s="18">
        <f t="shared" ref="W21:Y21" si="24">IFERROR(W20+Q21, W20)</f>
        <v>6102</v>
      </c>
      <c r="X21" s="18">
        <f t="shared" si="24"/>
        <v>6680.285714</v>
      </c>
      <c r="Y21" s="18">
        <f t="shared" si="24"/>
        <v>6990</v>
      </c>
    </row>
    <row r="22" ht="15.75" customHeight="1">
      <c r="A22" s="17"/>
      <c r="B22" s="17"/>
      <c r="C22" s="17"/>
      <c r="D22" s="22" t="s">
        <v>55</v>
      </c>
      <c r="E22" s="23">
        <v>45992.0</v>
      </c>
      <c r="F22" s="21">
        <v>46006.0</v>
      </c>
      <c r="G22" s="17"/>
      <c r="H22" s="17"/>
      <c r="I22" s="17"/>
      <c r="J22" s="17"/>
      <c r="K22" s="17"/>
      <c r="L22" s="17"/>
      <c r="M22" s="17" t="s">
        <v>62</v>
      </c>
      <c r="N22" s="17"/>
      <c r="O22" s="13"/>
      <c r="P22" s="17"/>
      <c r="Q22" s="17">
        <f>IF(F22&lt;=Costos!$B$2, G22, 0)</f>
        <v>0</v>
      </c>
      <c r="R22" s="17">
        <f t="shared" si="2"/>
        <v>0</v>
      </c>
      <c r="S22" s="17">
        <f t="shared" si="3"/>
        <v>0</v>
      </c>
      <c r="T22" s="17">
        <f t="shared" si="4"/>
        <v>0</v>
      </c>
      <c r="U22" s="17">
        <f t="shared" si="5"/>
        <v>0</v>
      </c>
      <c r="V22" s="17"/>
      <c r="W22" s="18">
        <f t="shared" ref="W22:Y22" si="25">IFERROR(W21+Q22, W21)</f>
        <v>6102</v>
      </c>
      <c r="X22" s="18">
        <f t="shared" si="25"/>
        <v>6680.285714</v>
      </c>
      <c r="Y22" s="18">
        <f t="shared" si="25"/>
        <v>6990</v>
      </c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 t="s">
        <v>62</v>
      </c>
      <c r="N23" s="17"/>
      <c r="O23" s="17"/>
      <c r="P23" s="17"/>
      <c r="Q23" s="17" t="str">
        <f>IF(F23&lt;=Costos!$B$2, G23, 0)</f>
        <v/>
      </c>
      <c r="R23" s="17">
        <f t="shared" si="2"/>
        <v>0</v>
      </c>
      <c r="S23" s="17">
        <f t="shared" si="3"/>
        <v>0</v>
      </c>
      <c r="T23" s="17">
        <f t="shared" si="4"/>
        <v>0</v>
      </c>
      <c r="U23" s="17">
        <f t="shared" si="5"/>
        <v>0</v>
      </c>
      <c r="V23" s="17"/>
      <c r="W23" s="18">
        <f t="shared" ref="W23:Y23" si="26">IFERROR(W22+Q23, W22)</f>
        <v>6102</v>
      </c>
      <c r="X23" s="18">
        <f t="shared" si="26"/>
        <v>6680.285714</v>
      </c>
      <c r="Y23" s="18">
        <f t="shared" si="26"/>
        <v>6990</v>
      </c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 t="s">
        <v>62</v>
      </c>
      <c r="N24" s="17"/>
      <c r="O24" s="17"/>
      <c r="P24" s="17"/>
      <c r="Q24" s="17" t="str">
        <f>IF(F24&lt;=Costos!$B$2, G24, 0)</f>
        <v/>
      </c>
      <c r="R24" s="17">
        <f t="shared" si="2"/>
        <v>0</v>
      </c>
      <c r="S24" s="17">
        <f t="shared" si="3"/>
        <v>0</v>
      </c>
      <c r="T24" s="17">
        <f t="shared" si="4"/>
        <v>0</v>
      </c>
      <c r="U24" s="17">
        <f t="shared" si="5"/>
        <v>0</v>
      </c>
      <c r="V24" s="17"/>
      <c r="W24" s="18">
        <f t="shared" ref="W24:Y24" si="27">IFERROR(W23+Q24, W23)</f>
        <v>6102</v>
      </c>
      <c r="X24" s="18">
        <f t="shared" si="27"/>
        <v>6680.285714</v>
      </c>
      <c r="Y24" s="18">
        <f t="shared" si="27"/>
        <v>6990</v>
      </c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 t="s">
        <v>62</v>
      </c>
      <c r="N25" s="17"/>
      <c r="O25" s="17"/>
      <c r="P25" s="17"/>
      <c r="Q25" s="17" t="str">
        <f>IF(F25&lt;=Costos!$B$2, G25, 0)</f>
        <v/>
      </c>
      <c r="R25" s="17">
        <f t="shared" si="2"/>
        <v>0</v>
      </c>
      <c r="S25" s="17">
        <f t="shared" si="3"/>
        <v>0</v>
      </c>
      <c r="T25" s="17">
        <f t="shared" si="4"/>
        <v>0</v>
      </c>
      <c r="U25" s="17">
        <f t="shared" si="5"/>
        <v>0</v>
      </c>
      <c r="V25" s="17"/>
      <c r="W25" s="18">
        <f t="shared" ref="W25:Y25" si="28">IFERROR(W24+Q25, W24)</f>
        <v>6102</v>
      </c>
      <c r="X25" s="18">
        <f t="shared" si="28"/>
        <v>6680.285714</v>
      </c>
      <c r="Y25" s="18">
        <f t="shared" si="28"/>
        <v>6990</v>
      </c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 t="s">
        <v>62</v>
      </c>
      <c r="N26" s="17"/>
      <c r="O26" s="17"/>
      <c r="P26" s="17"/>
      <c r="Q26" s="17" t="str">
        <f>IF(F26&lt;=Costos!$B$2, G26, 0)</f>
        <v/>
      </c>
      <c r="R26" s="17">
        <f t="shared" si="2"/>
        <v>0</v>
      </c>
      <c r="S26" s="17">
        <f t="shared" si="3"/>
        <v>0</v>
      </c>
      <c r="T26" s="17">
        <f t="shared" si="4"/>
        <v>0</v>
      </c>
      <c r="U26" s="17">
        <f t="shared" si="5"/>
        <v>0</v>
      </c>
      <c r="V26" s="17"/>
      <c r="W26" s="18">
        <f t="shared" ref="W26:Y26" si="29">IFERROR(W25+Q26, W25)</f>
        <v>6102</v>
      </c>
      <c r="X26" s="18">
        <f t="shared" si="29"/>
        <v>6680.285714</v>
      </c>
      <c r="Y26" s="18">
        <f t="shared" si="29"/>
        <v>6990</v>
      </c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 t="s">
        <v>62</v>
      </c>
      <c r="N27" s="17"/>
      <c r="O27" s="17"/>
      <c r="P27" s="17"/>
      <c r="Q27" s="17" t="str">
        <f>IF(F27&lt;=Costos!$B$2, G27, 0)</f>
        <v/>
      </c>
      <c r="R27" s="17">
        <f t="shared" si="2"/>
        <v>0</v>
      </c>
      <c r="S27" s="17">
        <f t="shared" si="3"/>
        <v>0</v>
      </c>
      <c r="T27" s="17">
        <f t="shared" si="4"/>
        <v>0</v>
      </c>
      <c r="U27" s="17">
        <f t="shared" si="5"/>
        <v>0</v>
      </c>
      <c r="V27" s="17"/>
      <c r="W27" s="18">
        <f t="shared" ref="W27:Y27" si="30">IFERROR(W26+Q27, W26)</f>
        <v>6102</v>
      </c>
      <c r="X27" s="18">
        <f t="shared" si="30"/>
        <v>6680.285714</v>
      </c>
      <c r="Y27" s="18">
        <f t="shared" si="30"/>
        <v>6990</v>
      </c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 t="s">
        <v>62</v>
      </c>
      <c r="N28" s="17"/>
      <c r="O28" s="17"/>
      <c r="P28" s="17"/>
      <c r="Q28" s="17" t="str">
        <f>IF(F28&lt;=Costos!$B$2, G28, 0)</f>
        <v/>
      </c>
      <c r="R28" s="17">
        <f t="shared" si="2"/>
        <v>0</v>
      </c>
      <c r="S28" s="17">
        <f t="shared" si="3"/>
        <v>0</v>
      </c>
      <c r="T28" s="17">
        <f t="shared" si="4"/>
        <v>0</v>
      </c>
      <c r="U28" s="17">
        <f t="shared" si="5"/>
        <v>0</v>
      </c>
      <c r="V28" s="17"/>
      <c r="W28" s="18">
        <f t="shared" ref="W28:Y28" si="31">IFERROR(W27+Q28, W27)</f>
        <v>6102</v>
      </c>
      <c r="X28" s="18">
        <f t="shared" si="31"/>
        <v>6680.285714</v>
      </c>
      <c r="Y28" s="18">
        <f t="shared" si="31"/>
        <v>6990</v>
      </c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 t="s">
        <v>62</v>
      </c>
      <c r="N29" s="17"/>
      <c r="O29" s="17"/>
      <c r="P29" s="17"/>
      <c r="Q29" s="17" t="str">
        <f>IF(F29&lt;=Costos!$B$2, G29, 0)</f>
        <v/>
      </c>
      <c r="R29" s="17">
        <f t="shared" si="2"/>
        <v>0</v>
      </c>
      <c r="S29" s="17">
        <f t="shared" si="3"/>
        <v>0</v>
      </c>
      <c r="T29" s="17">
        <f t="shared" si="4"/>
        <v>0</v>
      </c>
      <c r="U29" s="17">
        <f t="shared" si="5"/>
        <v>0</v>
      </c>
      <c r="V29" s="17"/>
      <c r="W29" s="18">
        <f t="shared" ref="W29:Y29" si="32">IFERROR(W28+Q29, W28)</f>
        <v>6102</v>
      </c>
      <c r="X29" s="18">
        <f t="shared" si="32"/>
        <v>6680.285714</v>
      </c>
      <c r="Y29" s="18">
        <f t="shared" si="32"/>
        <v>6990</v>
      </c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 t="s">
        <v>62</v>
      </c>
      <c r="N30" s="17"/>
      <c r="O30" s="17"/>
      <c r="P30" s="17"/>
      <c r="Q30" s="17" t="str">
        <f>IF(F30&lt;=Costos!$B$2, G30, 0)</f>
        <v/>
      </c>
      <c r="R30" s="17">
        <f t="shared" si="2"/>
        <v>0</v>
      </c>
      <c r="S30" s="17">
        <f t="shared" si="3"/>
        <v>0</v>
      </c>
      <c r="T30" s="17">
        <f t="shared" si="4"/>
        <v>0</v>
      </c>
      <c r="U30" s="17">
        <f t="shared" si="5"/>
        <v>0</v>
      </c>
      <c r="V30" s="17"/>
      <c r="W30" s="18">
        <f t="shared" ref="W30:Y30" si="33">IFERROR(W29+Q30, W29)</f>
        <v>6102</v>
      </c>
      <c r="X30" s="18">
        <f t="shared" si="33"/>
        <v>6680.285714</v>
      </c>
      <c r="Y30" s="18">
        <f t="shared" si="33"/>
        <v>6990</v>
      </c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 t="s">
        <v>62</v>
      </c>
      <c r="N31" s="17"/>
      <c r="O31" s="17"/>
      <c r="P31" s="17"/>
      <c r="Q31" s="17" t="str">
        <f>IF(F31&lt;=Costos!$B$2, G31, 0)</f>
        <v/>
      </c>
      <c r="R31" s="17">
        <f t="shared" si="2"/>
        <v>0</v>
      </c>
      <c r="S31" s="17">
        <f t="shared" si="3"/>
        <v>0</v>
      </c>
      <c r="T31" s="17">
        <f t="shared" si="4"/>
        <v>0</v>
      </c>
      <c r="U31" s="17">
        <f t="shared" si="5"/>
        <v>0</v>
      </c>
      <c r="V31" s="17"/>
      <c r="W31" s="18">
        <f t="shared" ref="W31:Y31" si="34">IFERROR(W30+Q31, W30)</f>
        <v>6102</v>
      </c>
      <c r="X31" s="18">
        <f t="shared" si="34"/>
        <v>6680.285714</v>
      </c>
      <c r="Y31" s="18">
        <f t="shared" si="34"/>
        <v>6990</v>
      </c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 t="s">
        <v>62</v>
      </c>
      <c r="N32" s="17"/>
      <c r="O32" s="17"/>
      <c r="P32" s="17"/>
      <c r="Q32" s="17" t="str">
        <f>IF(F32&lt;=Costos!$B$2, G32, 0)</f>
        <v/>
      </c>
      <c r="R32" s="17">
        <f t="shared" si="2"/>
        <v>0</v>
      </c>
      <c r="S32" s="17">
        <f t="shared" si="3"/>
        <v>0</v>
      </c>
      <c r="T32" s="17">
        <f t="shared" si="4"/>
        <v>0</v>
      </c>
      <c r="U32" s="17">
        <f t="shared" si="5"/>
        <v>0</v>
      </c>
      <c r="V32" s="17"/>
      <c r="W32" s="18">
        <f t="shared" ref="W32:Y32" si="35">IFERROR(W31+Q32, W31)</f>
        <v>6102</v>
      </c>
      <c r="X32" s="18">
        <f t="shared" si="35"/>
        <v>6680.285714</v>
      </c>
      <c r="Y32" s="18">
        <f t="shared" si="35"/>
        <v>6990</v>
      </c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 t="s">
        <v>62</v>
      </c>
      <c r="N33" s="17"/>
      <c r="O33" s="17"/>
      <c r="P33" s="17"/>
      <c r="Q33" s="17" t="str">
        <f>IF(F33&lt;=Costos!$B$2, G33, 0)</f>
        <v/>
      </c>
      <c r="R33" s="17">
        <f t="shared" si="2"/>
        <v>0</v>
      </c>
      <c r="S33" s="17">
        <f t="shared" si="3"/>
        <v>0</v>
      </c>
      <c r="T33" s="17">
        <f t="shared" si="4"/>
        <v>0</v>
      </c>
      <c r="U33" s="17">
        <f t="shared" si="5"/>
        <v>0</v>
      </c>
      <c r="V33" s="17"/>
      <c r="W33" s="18">
        <f t="shared" ref="W33:Y33" si="36">IFERROR(W32+Q33, W32)</f>
        <v>6102</v>
      </c>
      <c r="X33" s="18">
        <f t="shared" si="36"/>
        <v>6680.285714</v>
      </c>
      <c r="Y33" s="18">
        <f t="shared" si="36"/>
        <v>6990</v>
      </c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 t="s">
        <v>62</v>
      </c>
      <c r="N34" s="17"/>
      <c r="O34" s="17"/>
      <c r="P34" s="17"/>
      <c r="Q34" s="17" t="str">
        <f>IF(F34&lt;=Costos!$B$2, G34, 0)</f>
        <v/>
      </c>
      <c r="R34" s="17">
        <f t="shared" si="2"/>
        <v>0</v>
      </c>
      <c r="S34" s="17">
        <f t="shared" si="3"/>
        <v>0</v>
      </c>
      <c r="T34" s="17">
        <f t="shared" si="4"/>
        <v>0</v>
      </c>
      <c r="U34" s="17">
        <f t="shared" si="5"/>
        <v>0</v>
      </c>
      <c r="V34" s="17"/>
      <c r="W34" s="18">
        <f t="shared" ref="W34:Y34" si="37">IFERROR(W33+Q34, W33)</f>
        <v>6102</v>
      </c>
      <c r="X34" s="18">
        <f t="shared" si="37"/>
        <v>6680.285714</v>
      </c>
      <c r="Y34" s="18">
        <f t="shared" si="37"/>
        <v>6990</v>
      </c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 t="s">
        <v>62</v>
      </c>
      <c r="N35" s="17"/>
      <c r="O35" s="17"/>
      <c r="P35" s="17"/>
      <c r="Q35" s="17" t="str">
        <f>IF(F35&lt;=Costos!$B$2, G35, 0)</f>
        <v/>
      </c>
      <c r="R35" s="17">
        <f t="shared" si="2"/>
        <v>0</v>
      </c>
      <c r="S35" s="17">
        <f t="shared" si="3"/>
        <v>0</v>
      </c>
      <c r="T35" s="17">
        <f t="shared" si="4"/>
        <v>0</v>
      </c>
      <c r="U35" s="17">
        <f t="shared" si="5"/>
        <v>0</v>
      </c>
      <c r="V35" s="17"/>
      <c r="W35" s="18">
        <f t="shared" ref="W35:Y35" si="38">IFERROR(W34+Q35, W34)</f>
        <v>6102</v>
      </c>
      <c r="X35" s="18">
        <f t="shared" si="38"/>
        <v>6680.285714</v>
      </c>
      <c r="Y35" s="18">
        <f t="shared" si="38"/>
        <v>6990</v>
      </c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 t="s">
        <v>62</v>
      </c>
      <c r="N36" s="17"/>
      <c r="O36" s="17"/>
      <c r="P36" s="17"/>
      <c r="Q36" s="17" t="str">
        <f>IF(F36&lt;=Costos!$B$2, G36, 0)</f>
        <v/>
      </c>
      <c r="R36" s="17">
        <f t="shared" si="2"/>
        <v>0</v>
      </c>
      <c r="S36" s="17">
        <f t="shared" si="3"/>
        <v>0</v>
      </c>
      <c r="T36" s="17">
        <f t="shared" si="4"/>
        <v>0</v>
      </c>
      <c r="U36" s="17">
        <f t="shared" si="5"/>
        <v>0</v>
      </c>
      <c r="V36" s="17"/>
      <c r="W36" s="18">
        <f t="shared" ref="W36:Y36" si="39">IFERROR(W35+Q36, W35)</f>
        <v>6102</v>
      </c>
      <c r="X36" s="18">
        <f t="shared" si="39"/>
        <v>6680.285714</v>
      </c>
      <c r="Y36" s="18">
        <f t="shared" si="39"/>
        <v>6990</v>
      </c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 t="s">
        <v>62</v>
      </c>
      <c r="N37" s="17"/>
      <c r="O37" s="17"/>
      <c r="P37" s="17"/>
      <c r="Q37" s="17" t="str">
        <f>IF(F37&lt;=Costos!$B$2, G37, 0)</f>
        <v/>
      </c>
      <c r="R37" s="17">
        <f t="shared" si="2"/>
        <v>0</v>
      </c>
      <c r="S37" s="17">
        <f t="shared" si="3"/>
        <v>0</v>
      </c>
      <c r="T37" s="17">
        <f t="shared" si="4"/>
        <v>0</v>
      </c>
      <c r="U37" s="17">
        <f t="shared" si="5"/>
        <v>0</v>
      </c>
      <c r="V37" s="17"/>
      <c r="W37" s="18">
        <f t="shared" ref="W37:Y37" si="40">IFERROR(W36+Q37, W36)</f>
        <v>6102</v>
      </c>
      <c r="X37" s="18">
        <f t="shared" si="40"/>
        <v>6680.285714</v>
      </c>
      <c r="Y37" s="18">
        <f t="shared" si="40"/>
        <v>6990</v>
      </c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 t="s">
        <v>62</v>
      </c>
      <c r="N38" s="17"/>
      <c r="O38" s="17"/>
      <c r="P38" s="17"/>
      <c r="Q38" s="17" t="str">
        <f>IF(F38&lt;=Costos!$B$2, G38, 0)</f>
        <v/>
      </c>
      <c r="R38" s="17">
        <f t="shared" si="2"/>
        <v>0</v>
      </c>
      <c r="S38" s="17">
        <f t="shared" si="3"/>
        <v>0</v>
      </c>
      <c r="T38" s="17">
        <f t="shared" si="4"/>
        <v>0</v>
      </c>
      <c r="U38" s="17">
        <f t="shared" si="5"/>
        <v>0</v>
      </c>
      <c r="V38" s="17"/>
      <c r="W38" s="18">
        <f t="shared" ref="W38:Y38" si="41">IFERROR(W37+Q38, W37)</f>
        <v>6102</v>
      </c>
      <c r="X38" s="18">
        <f t="shared" si="41"/>
        <v>6680.285714</v>
      </c>
      <c r="Y38" s="18">
        <f t="shared" si="41"/>
        <v>6990</v>
      </c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 t="s">
        <v>62</v>
      </c>
      <c r="N39" s="17"/>
      <c r="O39" s="17"/>
      <c r="P39" s="17"/>
      <c r="Q39" s="17" t="str">
        <f>IF(F39&lt;=Costos!$B$2, G39, 0)</f>
        <v/>
      </c>
      <c r="R39" s="17">
        <f t="shared" si="2"/>
        <v>0</v>
      </c>
      <c r="S39" s="17">
        <f t="shared" si="3"/>
        <v>0</v>
      </c>
      <c r="T39" s="17">
        <f t="shared" si="4"/>
        <v>0</v>
      </c>
      <c r="U39" s="17">
        <f t="shared" si="5"/>
        <v>0</v>
      </c>
      <c r="V39" s="17"/>
      <c r="W39" s="18">
        <f t="shared" ref="W39:Y39" si="42">IFERROR(W38+Q39, W38)</f>
        <v>6102</v>
      </c>
      <c r="X39" s="18">
        <f t="shared" si="42"/>
        <v>6680.285714</v>
      </c>
      <c r="Y39" s="18">
        <f t="shared" si="42"/>
        <v>6990</v>
      </c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 t="s">
        <v>62</v>
      </c>
      <c r="N40" s="17"/>
      <c r="O40" s="17"/>
      <c r="P40" s="17"/>
      <c r="Q40" s="17" t="str">
        <f>IF(F40&lt;=Costos!$B$2, G40, 0)</f>
        <v/>
      </c>
      <c r="R40" s="17">
        <f t="shared" si="2"/>
        <v>0</v>
      </c>
      <c r="S40" s="17">
        <f t="shared" si="3"/>
        <v>0</v>
      </c>
      <c r="T40" s="17">
        <f t="shared" si="4"/>
        <v>0</v>
      </c>
      <c r="U40" s="17">
        <f t="shared" si="5"/>
        <v>0</v>
      </c>
      <c r="V40" s="17"/>
      <c r="W40" s="18">
        <f t="shared" ref="W40:Y40" si="43">IFERROR(W39+Q40, W39)</f>
        <v>6102</v>
      </c>
      <c r="X40" s="18">
        <f t="shared" si="43"/>
        <v>6680.285714</v>
      </c>
      <c r="Y40" s="18">
        <f t="shared" si="43"/>
        <v>6990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5561BCD-8E27-474D-80B0-A3E629766774}" filter="1" showAutoFilter="1">
      <autoFilter ref="$A$1:$Y$13"/>
      <extLst>
        <ext uri="GoogleSheetsCustomDataVersion1">
          <go:sheetsCustomData xmlns:go="http://customooxmlschemas.google.com/" filterViewId="1519648290"/>
        </ext>
      </extLst>
    </customSheetView>
  </customSheetViews>
  <conditionalFormatting sqref="M2:M40">
    <cfRule type="cellIs" dxfId="0" priority="1" operator="equal">
      <formula>"H"</formula>
    </cfRule>
  </conditionalFormatting>
  <conditionalFormatting sqref="M2:M40">
    <cfRule type="cellIs" dxfId="1" priority="2" operator="equal">
      <formula>"EP"</formula>
    </cfRule>
  </conditionalFormatting>
  <conditionalFormatting sqref="M2:M40">
    <cfRule type="cellIs" dxfId="2" priority="3" operator="equal">
      <formula>"NI"</formula>
    </cfRule>
  </conditionalFormatting>
  <dataValidations>
    <dataValidation type="list" allowBlank="1" showErrorMessage="1" sqref="L2:L40">
      <formula1>"0/100,50/50,20/80,Por checklist"</formula1>
    </dataValidation>
    <dataValidation type="list" allowBlank="1" showErrorMessage="1" sqref="M2:M40">
      <formula1>"NI,EP,H"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0.0"/>
    <col customWidth="1" min="3" max="26" width="8.86"/>
  </cols>
  <sheetData>
    <row r="1" ht="15.75" customHeight="1">
      <c r="A1" s="24" t="s">
        <v>63</v>
      </c>
      <c r="B1" s="24" t="s">
        <v>64</v>
      </c>
    </row>
    <row r="2" ht="15.75" customHeight="1">
      <c r="A2" s="17" t="s">
        <v>65</v>
      </c>
      <c r="B2" s="25">
        <v>45989.0</v>
      </c>
    </row>
    <row r="3" ht="15.75" customHeight="1">
      <c r="A3" s="17" t="s">
        <v>66</v>
      </c>
      <c r="B3" s="17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0.0"/>
    <col customWidth="1" min="3" max="3" width="24.0"/>
    <col customWidth="1" min="4" max="26" width="8.86"/>
  </cols>
  <sheetData>
    <row r="1" ht="15.75" customHeight="1">
      <c r="A1" s="26" t="s">
        <v>68</v>
      </c>
      <c r="B1" s="26" t="s">
        <v>69</v>
      </c>
      <c r="C1" s="26" t="s">
        <v>64</v>
      </c>
    </row>
    <row r="2" ht="15.75" customHeight="1">
      <c r="A2" s="27" t="s">
        <v>70</v>
      </c>
      <c r="B2" s="17" t="s">
        <v>71</v>
      </c>
      <c r="C2" s="17">
        <f>SUM(WBS!G2:G40)</f>
        <v>8202</v>
      </c>
    </row>
    <row r="3" ht="15.75" customHeight="1">
      <c r="A3" s="27" t="s">
        <v>72</v>
      </c>
      <c r="B3" s="17" t="s">
        <v>73</v>
      </c>
      <c r="C3" s="17">
        <f>SUM(WBS!Q2:Q40)</f>
        <v>6102</v>
      </c>
    </row>
    <row r="4" ht="15.75" customHeight="1">
      <c r="A4" s="27" t="s">
        <v>74</v>
      </c>
      <c r="B4" s="17" t="s">
        <v>75</v>
      </c>
      <c r="C4" s="17">
        <f>SUM(WBS!R2:R40)</f>
        <v>6680.285714</v>
      </c>
    </row>
    <row r="5" ht="15.75" customHeight="1">
      <c r="A5" s="27" t="s">
        <v>76</v>
      </c>
      <c r="B5" s="17" t="s">
        <v>77</v>
      </c>
      <c r="C5" s="17">
        <f>SUM(WBS!S2:S40)</f>
        <v>6990</v>
      </c>
    </row>
    <row r="6" ht="15.75" customHeight="1">
      <c r="A6" s="27" t="s">
        <v>78</v>
      </c>
      <c r="B6" s="17" t="s">
        <v>79</v>
      </c>
      <c r="C6" s="17">
        <f>C4-C3</f>
        <v>578.2857143</v>
      </c>
    </row>
    <row r="7" ht="15.75" customHeight="1">
      <c r="A7" s="27" t="s">
        <v>80</v>
      </c>
      <c r="B7" s="17" t="s">
        <v>81</v>
      </c>
      <c r="C7" s="17">
        <f>C4-C5</f>
        <v>-309.7142857</v>
      </c>
    </row>
    <row r="8" ht="15.75" customHeight="1">
      <c r="A8" s="27" t="s">
        <v>82</v>
      </c>
      <c r="B8" s="17" t="s">
        <v>83</v>
      </c>
      <c r="C8" s="17">
        <f>IF(C3&gt;0, C4/C3, 0)</f>
        <v>1.094769865</v>
      </c>
    </row>
    <row r="9" ht="15.75" customHeight="1">
      <c r="A9" s="27" t="s">
        <v>84</v>
      </c>
      <c r="B9" s="17" t="s">
        <v>85</v>
      </c>
      <c r="C9" s="17">
        <f>IF(C5&gt;0, C4/C5, 0)</f>
        <v>0.9556918046</v>
      </c>
    </row>
    <row r="10" ht="15.75" customHeight="1">
      <c r="A10" s="27" t="s">
        <v>86</v>
      </c>
      <c r="B10" s="17" t="s">
        <v>87</v>
      </c>
      <c r="C10" s="17">
        <f>IF(C8&gt;0, C2/C8, 0)</f>
        <v>7491.985544</v>
      </c>
    </row>
    <row r="11" ht="15.75" customHeight="1">
      <c r="A11" s="27" t="s">
        <v>88</v>
      </c>
      <c r="B11" s="17" t="s">
        <v>89</v>
      </c>
      <c r="C11" s="17">
        <f>C9-C5</f>
        <v>-6989.044308</v>
      </c>
    </row>
    <row r="13">
      <c r="A13" s="28" t="s">
        <v>90</v>
      </c>
      <c r="B13" s="29"/>
      <c r="C13" s="30"/>
    </row>
    <row r="14">
      <c r="A14" s="31" t="s">
        <v>91</v>
      </c>
      <c r="B14" s="32"/>
      <c r="C14" s="33"/>
    </row>
    <row r="15">
      <c r="A15" s="34"/>
      <c r="C15" s="35"/>
    </row>
    <row r="16">
      <c r="A16" s="34"/>
      <c r="C16" s="35"/>
    </row>
    <row r="17">
      <c r="A17" s="36"/>
      <c r="B17" s="37"/>
      <c r="C17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3:C13"/>
    <mergeCell ref="A14:C1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4.71"/>
    <col customWidth="1" min="3" max="26" width="8.86"/>
  </cols>
  <sheetData>
    <row r="1">
      <c r="A1" s="39" t="s">
        <v>92</v>
      </c>
    </row>
    <row r="2" ht="111.75" customHeight="1">
      <c r="A2" s="40" t="s">
        <v>93</v>
      </c>
    </row>
    <row r="3">
      <c r="A3" s="18" t="s">
        <v>94</v>
      </c>
    </row>
    <row r="4">
      <c r="A4" s="18" t="s">
        <v>95</v>
      </c>
    </row>
    <row r="10">
      <c r="A10" s="18" t="s">
        <v>96</v>
      </c>
      <c r="B10" s="18" t="s">
        <v>96</v>
      </c>
      <c r="C10" s="18">
        <f>'Métricas'!C2</f>
        <v>8202</v>
      </c>
    </row>
    <row r="11">
      <c r="B11" s="18" t="s">
        <v>96</v>
      </c>
      <c r="C11" s="18">
        <f>'Métricas'!C2</f>
        <v>8202</v>
      </c>
    </row>
    <row r="12">
      <c r="B12" s="18" t="s">
        <v>96</v>
      </c>
      <c r="C12" s="18">
        <f>'Métricas'!C2</f>
        <v>8202</v>
      </c>
    </row>
    <row r="13">
      <c r="B13" s="18" t="s">
        <v>96</v>
      </c>
      <c r="C13" s="18">
        <f>'Métricas'!C2</f>
        <v>8202</v>
      </c>
    </row>
    <row r="14">
      <c r="B14" s="18" t="s">
        <v>96</v>
      </c>
      <c r="C14" s="18">
        <f>'Métricas'!C2</f>
        <v>8202</v>
      </c>
    </row>
    <row r="15">
      <c r="B15" s="18" t="s">
        <v>96</v>
      </c>
      <c r="C15" s="18">
        <f>'Métricas'!C2</f>
        <v>8202</v>
      </c>
    </row>
    <row r="16">
      <c r="B16" s="18" t="s">
        <v>96</v>
      </c>
      <c r="C16" s="18">
        <f>'Métricas'!C2</f>
        <v>8202</v>
      </c>
    </row>
    <row r="17">
      <c r="B17" s="18" t="s">
        <v>96</v>
      </c>
      <c r="C17" s="18">
        <f>'Métricas'!C2</f>
        <v>8202</v>
      </c>
    </row>
    <row r="18">
      <c r="B18" s="18" t="s">
        <v>96</v>
      </c>
      <c r="C18" s="18">
        <f>'Métricas'!C2</f>
        <v>8202</v>
      </c>
    </row>
    <row r="19">
      <c r="B19" s="18" t="s">
        <v>96</v>
      </c>
      <c r="C19" s="18">
        <f>'Métricas'!C2</f>
        <v>8202</v>
      </c>
    </row>
    <row r="20">
      <c r="B20" s="18" t="s">
        <v>96</v>
      </c>
      <c r="C20" s="18">
        <f>'Métricas'!C2</f>
        <v>8202</v>
      </c>
    </row>
    <row r="21" ht="15.75" customHeight="1">
      <c r="B21" s="18" t="s">
        <v>96</v>
      </c>
      <c r="C21" s="18">
        <f>'Métricas'!C2</f>
        <v>8202</v>
      </c>
    </row>
    <row r="22" ht="15.75" customHeight="1">
      <c r="B22" s="18" t="s">
        <v>96</v>
      </c>
      <c r="C22" s="18">
        <f>'Métricas'!C2</f>
        <v>8202</v>
      </c>
    </row>
    <row r="23" ht="15.75" customHeight="1">
      <c r="B23" s="18" t="s">
        <v>96</v>
      </c>
      <c r="C23" s="18">
        <f>'Métricas'!C2</f>
        <v>8202</v>
      </c>
    </row>
    <row r="24" ht="15.75" customHeight="1">
      <c r="B24" s="18" t="s">
        <v>96</v>
      </c>
      <c r="C24" s="18">
        <f>'Métricas'!C2</f>
        <v>8202</v>
      </c>
    </row>
    <row r="25" ht="15.75" customHeight="1">
      <c r="B25" s="18" t="s">
        <v>96</v>
      </c>
      <c r="C25" s="18">
        <f>'Métricas'!C2</f>
        <v>8202</v>
      </c>
    </row>
    <row r="26" ht="15.75" customHeight="1">
      <c r="B26" s="18" t="s">
        <v>96</v>
      </c>
      <c r="C26" s="18">
        <f>'Métricas'!C2</f>
        <v>8202</v>
      </c>
    </row>
    <row r="27" ht="15.75" customHeight="1">
      <c r="B27" s="18" t="s">
        <v>96</v>
      </c>
      <c r="C27" s="18">
        <f>'Métricas'!C2</f>
        <v>8202</v>
      </c>
    </row>
    <row r="28" ht="15.75" customHeight="1">
      <c r="B28" s="18" t="s">
        <v>96</v>
      </c>
      <c r="C28" s="18">
        <f>'Métricas'!C2</f>
        <v>8202</v>
      </c>
    </row>
    <row r="29" ht="15.75" customHeight="1">
      <c r="B29" s="18" t="s">
        <v>96</v>
      </c>
      <c r="C29" s="18">
        <f>'Métricas'!C2</f>
        <v>8202</v>
      </c>
    </row>
    <row r="30" ht="15.75" customHeight="1">
      <c r="B30" s="18" t="s">
        <v>96</v>
      </c>
      <c r="C30" s="18">
        <f>'Métricas'!C2</f>
        <v>8202</v>
      </c>
    </row>
    <row r="31" ht="15.75" customHeight="1">
      <c r="B31" s="18" t="s">
        <v>96</v>
      </c>
      <c r="C31" s="18">
        <f>'Métricas'!C2</f>
        <v>8202</v>
      </c>
    </row>
    <row r="32" ht="15.75" customHeight="1">
      <c r="B32" s="18" t="s">
        <v>96</v>
      </c>
      <c r="C32" s="18">
        <f>'Métricas'!C2</f>
        <v>8202</v>
      </c>
    </row>
    <row r="33" ht="15.75" customHeight="1">
      <c r="B33" s="18" t="s">
        <v>96</v>
      </c>
      <c r="C33" s="18">
        <f>'Métricas'!C2</f>
        <v>8202</v>
      </c>
    </row>
    <row r="34" ht="15.75" customHeight="1">
      <c r="B34" s="18" t="s">
        <v>96</v>
      </c>
      <c r="C34" s="18">
        <f>'Métricas'!C2</f>
        <v>8202</v>
      </c>
    </row>
    <row r="35" ht="15.75" customHeight="1">
      <c r="B35" s="18" t="s">
        <v>96</v>
      </c>
      <c r="C35" s="18">
        <f>'Métricas'!C2</f>
        <v>8202</v>
      </c>
    </row>
    <row r="36" ht="15.75" customHeight="1">
      <c r="B36" s="18" t="s">
        <v>96</v>
      </c>
      <c r="C36" s="18">
        <f>'Métricas'!C2</f>
        <v>8202</v>
      </c>
    </row>
    <row r="37" ht="15.75" customHeight="1">
      <c r="B37" s="18" t="s">
        <v>96</v>
      </c>
      <c r="C37" s="18">
        <f>'Métricas'!C2</f>
        <v>8202</v>
      </c>
    </row>
    <row r="38" ht="15.75" customHeight="1">
      <c r="B38" s="18" t="s">
        <v>96</v>
      </c>
      <c r="C38" s="18">
        <f>'Métricas'!C2</f>
        <v>8202</v>
      </c>
    </row>
    <row r="39" ht="15.75" customHeight="1">
      <c r="B39" s="18" t="s">
        <v>96</v>
      </c>
      <c r="C39" s="18">
        <f>'Métricas'!C2</f>
        <v>8202</v>
      </c>
    </row>
    <row r="40" ht="15.75" customHeight="1">
      <c r="B40" s="18" t="s">
        <v>96</v>
      </c>
      <c r="C40" s="18">
        <f>'Métricas'!C2</f>
        <v>8202</v>
      </c>
    </row>
    <row r="41" ht="15.75" customHeight="1">
      <c r="B41" s="18" t="s">
        <v>96</v>
      </c>
      <c r="C41" s="18">
        <f>'Métricas'!C2</f>
        <v>8202</v>
      </c>
    </row>
    <row r="42" ht="15.75" customHeight="1">
      <c r="B42" s="18" t="s">
        <v>96</v>
      </c>
      <c r="C42" s="18">
        <f>'Métricas'!C2</f>
        <v>8202</v>
      </c>
    </row>
    <row r="43" ht="15.75" customHeight="1">
      <c r="B43" s="18" t="s">
        <v>96</v>
      </c>
      <c r="C43" s="18">
        <f>'Métricas'!C2</f>
        <v>8202</v>
      </c>
    </row>
    <row r="44" ht="15.75" customHeight="1">
      <c r="B44" s="18" t="s">
        <v>96</v>
      </c>
      <c r="C44" s="18">
        <f>'Métricas'!C2</f>
        <v>8202</v>
      </c>
    </row>
    <row r="45" ht="15.75" customHeight="1">
      <c r="B45" s="18" t="s">
        <v>96</v>
      </c>
      <c r="C45" s="18">
        <f>'Métricas'!C2</f>
        <v>8202</v>
      </c>
    </row>
    <row r="46" ht="15.75" customHeight="1">
      <c r="B46" s="18" t="s">
        <v>96</v>
      </c>
      <c r="C46" s="18">
        <f>'Métricas'!C2</f>
        <v>8202</v>
      </c>
    </row>
    <row r="47" ht="15.75" customHeight="1">
      <c r="B47" s="18" t="s">
        <v>96</v>
      </c>
      <c r="C47" s="18">
        <f>'Métricas'!C2</f>
        <v>8202</v>
      </c>
    </row>
    <row r="48" ht="15.75" customHeight="1">
      <c r="B48" s="18" t="s">
        <v>96</v>
      </c>
      <c r="C48" s="18">
        <f>'Métricas'!C2</f>
        <v>8202</v>
      </c>
    </row>
    <row r="49" ht="15.75" customHeight="1">
      <c r="B49" s="18" t="s">
        <v>96</v>
      </c>
      <c r="C49" s="18">
        <f>'Métricas'!C2</f>
        <v>8202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87.14"/>
    <col customWidth="1" min="3" max="26" width="8.86"/>
  </cols>
  <sheetData>
    <row r="1">
      <c r="A1" s="18" t="s">
        <v>97</v>
      </c>
    </row>
    <row r="2">
      <c r="A2" s="41" t="s">
        <v>98</v>
      </c>
    </row>
    <row r="4">
      <c r="A4" s="18" t="s">
        <v>99</v>
      </c>
    </row>
    <row r="5">
      <c r="A5" s="18" t="s">
        <v>70</v>
      </c>
      <c r="B5" s="18">
        <f>'Métricas'!C2</f>
        <v>8202</v>
      </c>
      <c r="D5" s="18" t="s">
        <v>100</v>
      </c>
    </row>
    <row r="6">
      <c r="A6" s="18" t="s">
        <v>72</v>
      </c>
      <c r="B6" s="18">
        <f>'Métricas'!C3</f>
        <v>6102</v>
      </c>
      <c r="D6" s="18" t="s">
        <v>101</v>
      </c>
    </row>
    <row r="7">
      <c r="A7" s="18" t="s">
        <v>74</v>
      </c>
      <c r="B7" s="18">
        <f>'Métricas'!C4</f>
        <v>6680.285714</v>
      </c>
      <c r="D7" s="18" t="s">
        <v>102</v>
      </c>
    </row>
    <row r="8">
      <c r="A8" s="18" t="s">
        <v>76</v>
      </c>
      <c r="B8" s="18">
        <f>'Métricas'!C5</f>
        <v>6990</v>
      </c>
      <c r="D8" s="18" t="s">
        <v>103</v>
      </c>
    </row>
    <row r="9">
      <c r="A9" s="18" t="s">
        <v>104</v>
      </c>
      <c r="B9" s="18">
        <f>'Métricas'!C7</f>
        <v>-309.7142857</v>
      </c>
    </row>
    <row r="10">
      <c r="A10" s="18" t="s">
        <v>105</v>
      </c>
      <c r="B10" s="18">
        <f>'Métricas'!C8</f>
        <v>1.094769865</v>
      </c>
    </row>
    <row r="11">
      <c r="A11" s="18" t="s">
        <v>106</v>
      </c>
      <c r="B11" s="18">
        <f>'Métricas'!C9</f>
        <v>0.9556918046</v>
      </c>
    </row>
    <row r="12">
      <c r="A12" s="18" t="s">
        <v>88</v>
      </c>
      <c r="B12" s="18">
        <f>'Métricas'!C10</f>
        <v>7491.985544</v>
      </c>
    </row>
    <row r="15">
      <c r="A15" s="18" t="s">
        <v>107</v>
      </c>
    </row>
    <row r="16">
      <c r="A16" s="18" t="s">
        <v>0</v>
      </c>
      <c r="B16" s="18" t="s">
        <v>108</v>
      </c>
      <c r="C16" s="18" t="s">
        <v>5</v>
      </c>
      <c r="D16" s="18" t="s">
        <v>109</v>
      </c>
      <c r="E16" s="18" t="s">
        <v>110</v>
      </c>
      <c r="F16" s="18" t="s">
        <v>111</v>
      </c>
      <c r="G16" s="18" t="s">
        <v>112</v>
      </c>
      <c r="H16" s="18" t="s">
        <v>113</v>
      </c>
      <c r="I16" s="18" t="s">
        <v>114</v>
      </c>
    </row>
    <row r="17">
      <c r="A17" s="18">
        <v>1.0</v>
      </c>
      <c r="B17" s="41" t="s">
        <v>115</v>
      </c>
      <c r="C17" s="42"/>
      <c r="D17" s="18">
        <f>WBS!Q2</f>
        <v>400</v>
      </c>
      <c r="E17" s="18">
        <f>WBS!R2</f>
        <v>400</v>
      </c>
      <c r="F17" s="18">
        <f>WBS!S2</f>
        <v>360</v>
      </c>
      <c r="G17" s="18">
        <f t="shared" ref="G17:G55" si="1">E17-D17</f>
        <v>0</v>
      </c>
      <c r="H17" s="18">
        <f t="shared" ref="H17:H55" si="2">E17-F17</f>
        <v>40</v>
      </c>
      <c r="I17" s="18" t="s">
        <v>116</v>
      </c>
    </row>
    <row r="18">
      <c r="A18" s="18">
        <v>2.0</v>
      </c>
      <c r="C18" s="42"/>
      <c r="D18" s="18">
        <f>WBS!Q3</f>
        <v>420</v>
      </c>
      <c r="E18" s="18">
        <f>WBS!R3</f>
        <v>420</v>
      </c>
      <c r="F18" s="18">
        <f>WBS!S3</f>
        <v>378</v>
      </c>
      <c r="G18" s="18">
        <f t="shared" si="1"/>
        <v>0</v>
      </c>
      <c r="H18" s="18">
        <f t="shared" si="2"/>
        <v>42</v>
      </c>
      <c r="I18" s="18" t="s">
        <v>116</v>
      </c>
    </row>
    <row r="19">
      <c r="A19" s="18">
        <v>3.0</v>
      </c>
      <c r="C19" s="42"/>
      <c r="D19" s="18">
        <f>WBS!Q4</f>
        <v>480</v>
      </c>
      <c r="E19" s="18">
        <f>WBS!R4</f>
        <v>480</v>
      </c>
      <c r="F19" s="18">
        <f>WBS!S4</f>
        <v>480</v>
      </c>
      <c r="G19" s="18">
        <f t="shared" si="1"/>
        <v>0</v>
      </c>
      <c r="H19" s="18">
        <f t="shared" si="2"/>
        <v>0</v>
      </c>
      <c r="I19" s="18" t="s">
        <v>116</v>
      </c>
    </row>
    <row r="20">
      <c r="A20" s="18">
        <v>4.0</v>
      </c>
      <c r="C20" s="42"/>
      <c r="D20" s="18">
        <f>WBS!Q5</f>
        <v>560</v>
      </c>
      <c r="E20" s="18">
        <f>WBS!R5</f>
        <v>560</v>
      </c>
      <c r="F20" s="18">
        <f>WBS!S5</f>
        <v>600</v>
      </c>
      <c r="G20" s="18">
        <f t="shared" si="1"/>
        <v>0</v>
      </c>
      <c r="H20" s="18">
        <f t="shared" si="2"/>
        <v>-40</v>
      </c>
      <c r="I20" s="18" t="s">
        <v>116</v>
      </c>
    </row>
    <row r="21" ht="15.75" customHeight="1">
      <c r="A21" s="18">
        <v>5.0</v>
      </c>
      <c r="C21" s="42"/>
      <c r="D21" s="18">
        <f>WBS!Q6</f>
        <v>336</v>
      </c>
      <c r="E21" s="18">
        <f>WBS!R6</f>
        <v>336</v>
      </c>
      <c r="F21" s="18">
        <f>WBS!S6</f>
        <v>294</v>
      </c>
      <c r="G21" s="18">
        <f t="shared" si="1"/>
        <v>0</v>
      </c>
      <c r="H21" s="18">
        <f t="shared" si="2"/>
        <v>42</v>
      </c>
      <c r="I21" s="18" t="s">
        <v>116</v>
      </c>
    </row>
    <row r="22" ht="15.75" customHeight="1">
      <c r="A22" s="18">
        <v>6.0</v>
      </c>
      <c r="C22" s="42"/>
      <c r="D22" s="18">
        <f>WBS!Q7</f>
        <v>336</v>
      </c>
      <c r="E22" s="18">
        <f>WBS!R7</f>
        <v>336</v>
      </c>
      <c r="F22" s="18">
        <f>WBS!S7</f>
        <v>378</v>
      </c>
      <c r="G22" s="18">
        <f t="shared" si="1"/>
        <v>0</v>
      </c>
      <c r="H22" s="18">
        <f t="shared" si="2"/>
        <v>-42</v>
      </c>
      <c r="I22" s="18" t="s">
        <v>116</v>
      </c>
    </row>
    <row r="23" ht="15.75" customHeight="1">
      <c r="A23" s="18">
        <v>7.0</v>
      </c>
      <c r="C23" s="42"/>
      <c r="D23" s="18">
        <f>WBS!Q8</f>
        <v>640</v>
      </c>
      <c r="E23" s="41">
        <v>640.0</v>
      </c>
      <c r="F23" s="18">
        <f>WBS!S8</f>
        <v>530</v>
      </c>
      <c r="G23" s="18">
        <f t="shared" si="1"/>
        <v>0</v>
      </c>
      <c r="H23" s="18">
        <f t="shared" si="2"/>
        <v>110</v>
      </c>
      <c r="I23" s="18" t="s">
        <v>116</v>
      </c>
    </row>
    <row r="24" ht="15.75" customHeight="1">
      <c r="A24" s="18">
        <v>8.0</v>
      </c>
      <c r="C24" s="42"/>
      <c r="D24" s="18">
        <f>WBS!Q9</f>
        <v>160</v>
      </c>
      <c r="E24" s="18">
        <f>WBS!R9</f>
        <v>160</v>
      </c>
      <c r="F24" s="18">
        <f>WBS!S9</f>
        <v>200</v>
      </c>
      <c r="G24" s="18">
        <f t="shared" si="1"/>
        <v>0</v>
      </c>
      <c r="H24" s="18">
        <f t="shared" si="2"/>
        <v>-40</v>
      </c>
      <c r="I24" s="18" t="s">
        <v>116</v>
      </c>
    </row>
    <row r="25" ht="15.75" customHeight="1">
      <c r="A25" s="18">
        <v>9.0</v>
      </c>
      <c r="C25" s="42"/>
      <c r="D25" s="18">
        <f>WBS!Q10</f>
        <v>720</v>
      </c>
      <c r="E25" s="18">
        <f>WBS!R10</f>
        <v>720</v>
      </c>
      <c r="F25" s="18">
        <f>WBS!S10</f>
        <v>360</v>
      </c>
      <c r="G25" s="18">
        <f t="shared" si="1"/>
        <v>0</v>
      </c>
      <c r="H25" s="18">
        <f t="shared" si="2"/>
        <v>360</v>
      </c>
      <c r="I25" s="18" t="s">
        <v>116</v>
      </c>
    </row>
    <row r="26" ht="15.75" customHeight="1">
      <c r="A26" s="18">
        <v>10.0</v>
      </c>
      <c r="C26" s="42"/>
      <c r="D26" s="18">
        <f>WBS!Q11</f>
        <v>810</v>
      </c>
      <c r="E26" s="18">
        <f>WBS!R11</f>
        <v>810</v>
      </c>
      <c r="F26" s="18">
        <f>WBS!S11</f>
        <v>450</v>
      </c>
      <c r="G26" s="18">
        <f t="shared" si="1"/>
        <v>0</v>
      </c>
      <c r="H26" s="18">
        <f t="shared" si="2"/>
        <v>360</v>
      </c>
      <c r="I26" s="18" t="s">
        <v>116</v>
      </c>
    </row>
    <row r="27" ht="15.75" customHeight="1">
      <c r="A27" s="18">
        <v>11.0</v>
      </c>
      <c r="C27" s="42"/>
      <c r="D27" s="18">
        <f>WBS!Q12</f>
        <v>480</v>
      </c>
      <c r="E27" s="18">
        <f>WBS!R12</f>
        <v>480</v>
      </c>
      <c r="F27" s="18">
        <f>WBS!S12</f>
        <v>240</v>
      </c>
      <c r="G27" s="18">
        <f t="shared" si="1"/>
        <v>0</v>
      </c>
      <c r="H27" s="18">
        <f t="shared" si="2"/>
        <v>240</v>
      </c>
      <c r="I27" s="18" t="s">
        <v>116</v>
      </c>
    </row>
    <row r="28" ht="15.75" customHeight="1">
      <c r="A28" s="18">
        <v>12.0</v>
      </c>
      <c r="C28" s="42"/>
      <c r="D28" s="18">
        <f>WBS!Q13</f>
        <v>240</v>
      </c>
      <c r="E28" s="18">
        <f>WBS!R13</f>
        <v>240</v>
      </c>
      <c r="F28" s="18">
        <f>WBS!S13</f>
        <v>0</v>
      </c>
      <c r="G28" s="18">
        <f t="shared" si="1"/>
        <v>0</v>
      </c>
      <c r="H28" s="18">
        <f t="shared" si="2"/>
        <v>240</v>
      </c>
      <c r="I28" s="18" t="s">
        <v>116</v>
      </c>
    </row>
    <row r="29" ht="15.75" customHeight="1">
      <c r="D29" s="18">
        <f>WBS!Q14</f>
        <v>520</v>
      </c>
      <c r="E29" s="18">
        <f>WBS!R14</f>
        <v>520</v>
      </c>
      <c r="F29" s="18">
        <f>WBS!S14</f>
        <v>560</v>
      </c>
      <c r="G29" s="18">
        <f t="shared" si="1"/>
        <v>0</v>
      </c>
      <c r="H29" s="18">
        <f t="shared" si="2"/>
        <v>-40</v>
      </c>
      <c r="I29" s="18" t="s">
        <v>116</v>
      </c>
    </row>
    <row r="30" ht="15.75" customHeight="1">
      <c r="D30" s="18">
        <f>WBS!Q15</f>
        <v>0</v>
      </c>
      <c r="E30" s="18">
        <f>WBS!R15</f>
        <v>240</v>
      </c>
      <c r="F30" s="41">
        <v>240.0</v>
      </c>
      <c r="G30" s="18">
        <f t="shared" si="1"/>
        <v>240</v>
      </c>
      <c r="H30" s="18">
        <f t="shared" si="2"/>
        <v>0</v>
      </c>
      <c r="I30" s="18" t="s">
        <v>116</v>
      </c>
    </row>
    <row r="31" ht="15.75" customHeight="1">
      <c r="D31" s="18">
        <f>WBS!Q16</f>
        <v>0</v>
      </c>
      <c r="E31" s="18">
        <f>WBS!R16</f>
        <v>0</v>
      </c>
      <c r="F31" s="18">
        <f>WBS!S16</f>
        <v>360</v>
      </c>
      <c r="G31" s="18">
        <f t="shared" si="1"/>
        <v>0</v>
      </c>
      <c r="H31" s="18">
        <f t="shared" si="2"/>
        <v>-360</v>
      </c>
      <c r="I31" s="18" t="s">
        <v>116</v>
      </c>
    </row>
    <row r="32" ht="15.75" customHeight="1">
      <c r="D32" s="18">
        <f>WBS!Q17</f>
        <v>0</v>
      </c>
      <c r="E32" s="18">
        <f>WBS!R17</f>
        <v>64</v>
      </c>
      <c r="F32" s="18">
        <f>WBS!S17</f>
        <v>320</v>
      </c>
      <c r="G32" s="18">
        <f t="shared" si="1"/>
        <v>64</v>
      </c>
      <c r="H32" s="18">
        <f t="shared" si="2"/>
        <v>-256</v>
      </c>
      <c r="I32" s="18" t="s">
        <v>116</v>
      </c>
    </row>
    <row r="33" ht="15.75" customHeight="1">
      <c r="D33" s="18">
        <f>WBS!Q18</f>
        <v>0</v>
      </c>
      <c r="E33" s="18">
        <f>WBS!R18</f>
        <v>0</v>
      </c>
      <c r="F33" s="18">
        <f>WBS!S18</f>
        <v>240</v>
      </c>
      <c r="G33" s="18">
        <f t="shared" si="1"/>
        <v>0</v>
      </c>
      <c r="H33" s="18">
        <f t="shared" si="2"/>
        <v>-240</v>
      </c>
      <c r="I33" s="18" t="s">
        <v>116</v>
      </c>
    </row>
    <row r="34" ht="15.75" customHeight="1">
      <c r="D34" s="18">
        <f>WBS!Q19</f>
        <v>0</v>
      </c>
      <c r="E34" s="18">
        <f>WBS!R19</f>
        <v>0</v>
      </c>
      <c r="F34" s="18">
        <f>WBS!S19</f>
        <v>210</v>
      </c>
      <c r="G34" s="18">
        <f t="shared" si="1"/>
        <v>0</v>
      </c>
      <c r="H34" s="18">
        <f t="shared" si="2"/>
        <v>-210</v>
      </c>
      <c r="I34" s="18" t="s">
        <v>116</v>
      </c>
    </row>
    <row r="35" ht="15.75" customHeight="1">
      <c r="D35" s="18">
        <f>WBS!Q20</f>
        <v>0</v>
      </c>
      <c r="E35" s="18">
        <f>WBS!R20</f>
        <v>0</v>
      </c>
      <c r="F35" s="18">
        <f>WBS!S20</f>
        <v>390</v>
      </c>
      <c r="G35" s="18">
        <f t="shared" si="1"/>
        <v>0</v>
      </c>
      <c r="H35" s="18">
        <f t="shared" si="2"/>
        <v>-390</v>
      </c>
      <c r="I35" s="18" t="s">
        <v>116</v>
      </c>
    </row>
    <row r="36" ht="15.75" customHeight="1">
      <c r="D36" s="18">
        <f>WBS!Q21</f>
        <v>0</v>
      </c>
      <c r="E36" s="18">
        <f>WBS!R21</f>
        <v>0</v>
      </c>
      <c r="F36" s="18">
        <f>WBS!S21</f>
        <v>200</v>
      </c>
      <c r="G36" s="18">
        <f t="shared" si="1"/>
        <v>0</v>
      </c>
      <c r="H36" s="18">
        <f t="shared" si="2"/>
        <v>-200</v>
      </c>
      <c r="I36" s="18" t="s">
        <v>116</v>
      </c>
    </row>
    <row r="37" ht="15.75" customHeight="1">
      <c r="D37" s="18">
        <f>WBS!Q22</f>
        <v>0</v>
      </c>
      <c r="E37" s="18">
        <f>WBS!R22</f>
        <v>0</v>
      </c>
      <c r="F37" s="18">
        <f>WBS!S22</f>
        <v>0</v>
      </c>
      <c r="G37" s="18">
        <f t="shared" si="1"/>
        <v>0</v>
      </c>
      <c r="H37" s="18">
        <f t="shared" si="2"/>
        <v>0</v>
      </c>
      <c r="I37" s="18" t="s">
        <v>116</v>
      </c>
    </row>
    <row r="38" ht="15.75" customHeight="1">
      <c r="D38" s="18" t="str">
        <f>WBS!Q23</f>
        <v/>
      </c>
      <c r="E38" s="18">
        <f>WBS!R23</f>
        <v>0</v>
      </c>
      <c r="F38" s="18">
        <f>WBS!S23</f>
        <v>0</v>
      </c>
      <c r="G38" s="18">
        <f t="shared" si="1"/>
        <v>0</v>
      </c>
      <c r="H38" s="18">
        <f t="shared" si="2"/>
        <v>0</v>
      </c>
      <c r="I38" s="18" t="s">
        <v>116</v>
      </c>
    </row>
    <row r="39" ht="15.75" customHeight="1">
      <c r="D39" s="18" t="str">
        <f>WBS!Q24</f>
        <v/>
      </c>
      <c r="E39" s="18">
        <f>WBS!R24</f>
        <v>0</v>
      </c>
      <c r="F39" s="18">
        <f>WBS!S24</f>
        <v>0</v>
      </c>
      <c r="G39" s="18">
        <f t="shared" si="1"/>
        <v>0</v>
      </c>
      <c r="H39" s="18">
        <f t="shared" si="2"/>
        <v>0</v>
      </c>
      <c r="I39" s="18" t="s">
        <v>116</v>
      </c>
    </row>
    <row r="40" ht="15.75" customHeight="1">
      <c r="D40" s="18" t="str">
        <f>WBS!Q25</f>
        <v/>
      </c>
      <c r="E40" s="18">
        <f>WBS!R25</f>
        <v>0</v>
      </c>
      <c r="F40" s="18">
        <f>WBS!S25</f>
        <v>0</v>
      </c>
      <c r="G40" s="18">
        <f t="shared" si="1"/>
        <v>0</v>
      </c>
      <c r="H40" s="18">
        <f t="shared" si="2"/>
        <v>0</v>
      </c>
      <c r="I40" s="18" t="s">
        <v>116</v>
      </c>
    </row>
    <row r="41" ht="15.75" customHeight="1">
      <c r="D41" s="18" t="str">
        <f>WBS!Q26</f>
        <v/>
      </c>
      <c r="E41" s="18">
        <f>WBS!R26</f>
        <v>0</v>
      </c>
      <c r="F41" s="18">
        <f>WBS!S26</f>
        <v>0</v>
      </c>
      <c r="G41" s="18">
        <f t="shared" si="1"/>
        <v>0</v>
      </c>
      <c r="H41" s="18">
        <f t="shared" si="2"/>
        <v>0</v>
      </c>
      <c r="I41" s="18" t="s">
        <v>116</v>
      </c>
    </row>
    <row r="42" ht="15.75" customHeight="1">
      <c r="D42" s="18" t="str">
        <f>WBS!Q27</f>
        <v/>
      </c>
      <c r="E42" s="18">
        <f>WBS!R27</f>
        <v>0</v>
      </c>
      <c r="F42" s="18">
        <f>WBS!S27</f>
        <v>0</v>
      </c>
      <c r="G42" s="18">
        <f t="shared" si="1"/>
        <v>0</v>
      </c>
      <c r="H42" s="18">
        <f t="shared" si="2"/>
        <v>0</v>
      </c>
      <c r="I42" s="18" t="s">
        <v>116</v>
      </c>
    </row>
    <row r="43" ht="15.75" customHeight="1">
      <c r="D43" s="18" t="str">
        <f>WBS!Q28</f>
        <v/>
      </c>
      <c r="E43" s="18">
        <f>WBS!R28</f>
        <v>0</v>
      </c>
      <c r="F43" s="18">
        <f>WBS!S28</f>
        <v>0</v>
      </c>
      <c r="G43" s="18">
        <f t="shared" si="1"/>
        <v>0</v>
      </c>
      <c r="H43" s="18">
        <f t="shared" si="2"/>
        <v>0</v>
      </c>
      <c r="I43" s="18" t="s">
        <v>116</v>
      </c>
    </row>
    <row r="44" ht="15.75" customHeight="1">
      <c r="D44" s="18" t="str">
        <f>WBS!Q29</f>
        <v/>
      </c>
      <c r="E44" s="18">
        <f>WBS!R29</f>
        <v>0</v>
      </c>
      <c r="F44" s="18">
        <f>WBS!S29</f>
        <v>0</v>
      </c>
      <c r="G44" s="18">
        <f t="shared" si="1"/>
        <v>0</v>
      </c>
      <c r="H44" s="18">
        <f t="shared" si="2"/>
        <v>0</v>
      </c>
      <c r="I44" s="18" t="s">
        <v>116</v>
      </c>
    </row>
    <row r="45" ht="15.75" customHeight="1">
      <c r="D45" s="18" t="str">
        <f>WBS!Q30</f>
        <v/>
      </c>
      <c r="E45" s="18">
        <f>WBS!R30</f>
        <v>0</v>
      </c>
      <c r="F45" s="18">
        <f>WBS!S30</f>
        <v>0</v>
      </c>
      <c r="G45" s="18">
        <f t="shared" si="1"/>
        <v>0</v>
      </c>
      <c r="H45" s="18">
        <f t="shared" si="2"/>
        <v>0</v>
      </c>
      <c r="I45" s="18" t="s">
        <v>116</v>
      </c>
    </row>
    <row r="46" ht="15.75" customHeight="1">
      <c r="D46" s="18" t="str">
        <f>WBS!Q31</f>
        <v/>
      </c>
      <c r="E46" s="18">
        <f>WBS!R31</f>
        <v>0</v>
      </c>
      <c r="F46" s="18">
        <f>WBS!S31</f>
        <v>0</v>
      </c>
      <c r="G46" s="18">
        <f t="shared" si="1"/>
        <v>0</v>
      </c>
      <c r="H46" s="18">
        <f t="shared" si="2"/>
        <v>0</v>
      </c>
      <c r="I46" s="18" t="s">
        <v>116</v>
      </c>
    </row>
    <row r="47" ht="15.75" customHeight="1">
      <c r="D47" s="18" t="str">
        <f>WBS!Q32</f>
        <v/>
      </c>
      <c r="E47" s="18">
        <f>WBS!R32</f>
        <v>0</v>
      </c>
      <c r="F47" s="18">
        <f>WBS!S32</f>
        <v>0</v>
      </c>
      <c r="G47" s="18">
        <f t="shared" si="1"/>
        <v>0</v>
      </c>
      <c r="H47" s="18">
        <f t="shared" si="2"/>
        <v>0</v>
      </c>
      <c r="I47" s="18" t="s">
        <v>116</v>
      </c>
    </row>
    <row r="48" ht="15.75" customHeight="1">
      <c r="D48" s="18" t="str">
        <f>WBS!Q33</f>
        <v/>
      </c>
      <c r="E48" s="18">
        <f>WBS!R33</f>
        <v>0</v>
      </c>
      <c r="F48" s="18">
        <f>WBS!S33</f>
        <v>0</v>
      </c>
      <c r="G48" s="18">
        <f t="shared" si="1"/>
        <v>0</v>
      </c>
      <c r="H48" s="18">
        <f t="shared" si="2"/>
        <v>0</v>
      </c>
      <c r="I48" s="18" t="s">
        <v>116</v>
      </c>
    </row>
    <row r="49" ht="15.75" customHeight="1">
      <c r="D49" s="18" t="str">
        <f>WBS!Q34</f>
        <v/>
      </c>
      <c r="E49" s="18">
        <f>WBS!R34</f>
        <v>0</v>
      </c>
      <c r="F49" s="18">
        <f>WBS!S34</f>
        <v>0</v>
      </c>
      <c r="G49" s="18">
        <f t="shared" si="1"/>
        <v>0</v>
      </c>
      <c r="H49" s="18">
        <f t="shared" si="2"/>
        <v>0</v>
      </c>
      <c r="I49" s="18" t="s">
        <v>116</v>
      </c>
    </row>
    <row r="50" ht="15.75" customHeight="1">
      <c r="D50" s="18" t="str">
        <f>WBS!Q35</f>
        <v/>
      </c>
      <c r="E50" s="18">
        <f>WBS!R35</f>
        <v>0</v>
      </c>
      <c r="F50" s="18">
        <f>WBS!S35</f>
        <v>0</v>
      </c>
      <c r="G50" s="18">
        <f t="shared" si="1"/>
        <v>0</v>
      </c>
      <c r="H50" s="18">
        <f t="shared" si="2"/>
        <v>0</v>
      </c>
      <c r="I50" s="18" t="s">
        <v>116</v>
      </c>
    </row>
    <row r="51" ht="15.75" customHeight="1">
      <c r="D51" s="18" t="str">
        <f>WBS!Q36</f>
        <v/>
      </c>
      <c r="E51" s="18">
        <f>WBS!R36</f>
        <v>0</v>
      </c>
      <c r="F51" s="18">
        <f>WBS!S36</f>
        <v>0</v>
      </c>
      <c r="G51" s="18">
        <f t="shared" si="1"/>
        <v>0</v>
      </c>
      <c r="H51" s="18">
        <f t="shared" si="2"/>
        <v>0</v>
      </c>
      <c r="I51" s="18" t="s">
        <v>116</v>
      </c>
    </row>
    <row r="52" ht="15.75" customHeight="1">
      <c r="D52" s="18" t="str">
        <f>WBS!Q37</f>
        <v/>
      </c>
      <c r="E52" s="18">
        <f>WBS!R37</f>
        <v>0</v>
      </c>
      <c r="F52" s="18">
        <f>WBS!S37</f>
        <v>0</v>
      </c>
      <c r="G52" s="18">
        <f t="shared" si="1"/>
        <v>0</v>
      </c>
      <c r="H52" s="18">
        <f t="shared" si="2"/>
        <v>0</v>
      </c>
      <c r="I52" s="18" t="s">
        <v>116</v>
      </c>
    </row>
    <row r="53" ht="15.75" customHeight="1">
      <c r="D53" s="18" t="str">
        <f>WBS!Q38</f>
        <v/>
      </c>
      <c r="E53" s="18">
        <f>WBS!R38</f>
        <v>0</v>
      </c>
      <c r="F53" s="18">
        <f>WBS!S38</f>
        <v>0</v>
      </c>
      <c r="G53" s="18">
        <f t="shared" si="1"/>
        <v>0</v>
      </c>
      <c r="H53" s="18">
        <f t="shared" si="2"/>
        <v>0</v>
      </c>
      <c r="I53" s="18" t="s">
        <v>116</v>
      </c>
    </row>
    <row r="54" ht="15.75" customHeight="1">
      <c r="D54" s="18" t="str">
        <f>WBS!Q39</f>
        <v/>
      </c>
      <c r="E54" s="18">
        <f>WBS!R39</f>
        <v>0</v>
      </c>
      <c r="F54" s="18">
        <f>WBS!S39</f>
        <v>0</v>
      </c>
      <c r="G54" s="18">
        <f t="shared" si="1"/>
        <v>0</v>
      </c>
      <c r="H54" s="18">
        <f t="shared" si="2"/>
        <v>0</v>
      </c>
      <c r="I54" s="18" t="s">
        <v>116</v>
      </c>
    </row>
    <row r="55" ht="15.75" customHeight="1">
      <c r="D55" s="18" t="str">
        <f>WBS!Q40</f>
        <v/>
      </c>
      <c r="E55" s="18">
        <f>WBS!R40</f>
        <v>0</v>
      </c>
      <c r="F55" s="18">
        <f>WBS!S40</f>
        <v>0</v>
      </c>
      <c r="G55" s="18">
        <f t="shared" si="1"/>
        <v>0</v>
      </c>
      <c r="H55" s="18">
        <f t="shared" si="2"/>
        <v>0</v>
      </c>
      <c r="I55" s="18" t="s">
        <v>116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B3" s="43" t="s">
        <v>117</v>
      </c>
    </row>
    <row r="5">
      <c r="B5" s="44" t="s">
        <v>118</v>
      </c>
    </row>
    <row r="6">
      <c r="B6" s="44" t="s">
        <v>119</v>
      </c>
    </row>
    <row r="7">
      <c r="B7" s="44" t="s">
        <v>120</v>
      </c>
    </row>
    <row r="9">
      <c r="B9" s="44" t="s">
        <v>121</v>
      </c>
    </row>
    <row r="10">
      <c r="B10" s="44" t="s">
        <v>122</v>
      </c>
    </row>
    <row r="11">
      <c r="B11" s="44" t="s">
        <v>123</v>
      </c>
    </row>
    <row r="12">
      <c r="B12" s="44" t="s">
        <v>124</v>
      </c>
    </row>
    <row r="14">
      <c r="B14" s="44" t="s">
        <v>125</v>
      </c>
    </row>
    <row r="18">
      <c r="B18" s="43" t="s">
        <v>126</v>
      </c>
    </row>
    <row r="20">
      <c r="B20" s="44" t="s">
        <v>127</v>
      </c>
    </row>
    <row r="21" ht="15.75" customHeight="1">
      <c r="B21" s="44" t="s">
        <v>128</v>
      </c>
    </row>
    <row r="22" ht="15.75" customHeight="1">
      <c r="B22" s="44" t="s">
        <v>129</v>
      </c>
    </row>
    <row r="23" ht="15.75" customHeight="1"/>
    <row r="24" ht="15.75" customHeight="1">
      <c r="B24" s="44" t="s">
        <v>130</v>
      </c>
    </row>
    <row r="25" ht="15.75" customHeight="1">
      <c r="B25" s="44" t="s">
        <v>131</v>
      </c>
    </row>
    <row r="26" ht="15.75" customHeight="1">
      <c r="B26" s="44" t="s">
        <v>132</v>
      </c>
    </row>
    <row r="27" ht="15.75" customHeight="1">
      <c r="B27" s="44" t="s">
        <v>133</v>
      </c>
    </row>
    <row r="28" ht="15.75" customHeight="1">
      <c r="B28" s="44" t="s">
        <v>134</v>
      </c>
    </row>
    <row r="29" ht="15.75" customHeight="1"/>
    <row r="30" ht="15.75" customHeight="1"/>
    <row r="31" ht="15.75" customHeight="1"/>
    <row r="32" ht="15.75" customHeight="1">
      <c r="B32" s="43" t="s">
        <v>135</v>
      </c>
    </row>
    <row r="33" ht="15.75" customHeight="1"/>
    <row r="34" ht="15.75" customHeight="1">
      <c r="B34" s="44" t="s">
        <v>136</v>
      </c>
    </row>
    <row r="35" ht="15.75" customHeight="1">
      <c r="B35" s="44" t="s">
        <v>137</v>
      </c>
    </row>
    <row r="36" ht="15.75" customHeight="1">
      <c r="B36" s="44" t="s">
        <v>138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2025-11-04T04:25:22Z</dcterms:created>
  <dc:creator>openpyxl</dc:creator>
</cp:coreProperties>
</file>